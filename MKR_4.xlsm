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учеба\МСС\"/>
    </mc:Choice>
  </mc:AlternateContent>
  <bookViews>
    <workbookView xWindow="0" yWindow="0" windowWidth="19200" windowHeight="11595"/>
  </bookViews>
  <sheets>
    <sheet name="Лист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53" i="1" l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Z55" i="1"/>
  <c r="Z54" i="1"/>
  <c r="Z53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N52" i="1"/>
  <c r="Z52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N51" i="1"/>
  <c r="Z51" i="1"/>
  <c r="Z21" i="1" l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Z15" i="1"/>
  <c r="Z22" i="1"/>
  <c r="Z9" i="1"/>
  <c r="Z10" i="1" s="1"/>
  <c r="U40" i="1"/>
  <c r="U41" i="1"/>
  <c r="U42" i="1"/>
  <c r="U43" i="1"/>
  <c r="U44" i="1"/>
  <c r="U45" i="1"/>
  <c r="U46" i="1"/>
  <c r="U47" i="1"/>
  <c r="U48" i="1"/>
  <c r="U49" i="1"/>
  <c r="AN7" i="1" s="1"/>
  <c r="U39" i="1"/>
  <c r="AN19" i="1" s="1"/>
  <c r="L45" i="1"/>
  <c r="AE7" i="1" s="1"/>
  <c r="M45" i="1"/>
  <c r="M46" i="1"/>
  <c r="AF7" i="1" s="1"/>
  <c r="N45" i="1"/>
  <c r="N46" i="1"/>
  <c r="N47" i="1"/>
  <c r="AG7" i="1" s="1"/>
  <c r="O45" i="1"/>
  <c r="O46" i="1"/>
  <c r="O47" i="1"/>
  <c r="O48" i="1"/>
  <c r="AH7" i="1" s="1"/>
  <c r="P45" i="1"/>
  <c r="Q45" i="1"/>
  <c r="R45" i="1"/>
  <c r="S45" i="1"/>
  <c r="T45" i="1"/>
  <c r="P46" i="1"/>
  <c r="Q46" i="1"/>
  <c r="R46" i="1"/>
  <c r="S46" i="1"/>
  <c r="T46" i="1"/>
  <c r="P47" i="1"/>
  <c r="Q47" i="1"/>
  <c r="R47" i="1"/>
  <c r="S47" i="1"/>
  <c r="T47" i="1"/>
  <c r="P48" i="1"/>
  <c r="Q48" i="1"/>
  <c r="R48" i="1"/>
  <c r="S48" i="1"/>
  <c r="T48" i="1"/>
  <c r="P49" i="1"/>
  <c r="AI7" i="1" s="1"/>
  <c r="Q49" i="1"/>
  <c r="AJ7" i="1" s="1"/>
  <c r="R49" i="1"/>
  <c r="AK7" i="1" s="1"/>
  <c r="S49" i="1"/>
  <c r="AL7" i="1" s="1"/>
  <c r="T49" i="1"/>
  <c r="AM7" i="1" s="1"/>
  <c r="I39" i="1"/>
  <c r="AB19" i="1" s="1"/>
  <c r="J39" i="1"/>
  <c r="AC19" i="1" s="1"/>
  <c r="K39" i="1"/>
  <c r="AD19" i="1" s="1"/>
  <c r="L39" i="1"/>
  <c r="AE19" i="1" s="1"/>
  <c r="M39" i="1"/>
  <c r="AF19" i="1" s="1"/>
  <c r="N39" i="1"/>
  <c r="AG19" i="1" s="1"/>
  <c r="O39" i="1"/>
  <c r="AH19" i="1" s="1"/>
  <c r="P39" i="1"/>
  <c r="AI19" i="1" s="1"/>
  <c r="Q39" i="1"/>
  <c r="AJ19" i="1" s="1"/>
  <c r="R39" i="1"/>
  <c r="AK19" i="1" s="1"/>
  <c r="S39" i="1"/>
  <c r="AL19" i="1" s="1"/>
  <c r="T39" i="1"/>
  <c r="AM19" i="1" s="1"/>
  <c r="I40" i="1"/>
  <c r="J40" i="1"/>
  <c r="K40" i="1"/>
  <c r="L40" i="1"/>
  <c r="M40" i="1"/>
  <c r="N40" i="1"/>
  <c r="O40" i="1"/>
  <c r="P40" i="1"/>
  <c r="Q40" i="1"/>
  <c r="R40" i="1"/>
  <c r="S40" i="1"/>
  <c r="T40" i="1"/>
  <c r="I41" i="1"/>
  <c r="J41" i="1"/>
  <c r="K41" i="1"/>
  <c r="L41" i="1"/>
  <c r="M41" i="1"/>
  <c r="N41" i="1"/>
  <c r="O41" i="1"/>
  <c r="P41" i="1"/>
  <c r="Q41" i="1"/>
  <c r="R41" i="1"/>
  <c r="S41" i="1"/>
  <c r="T41" i="1"/>
  <c r="I42" i="1"/>
  <c r="J42" i="1"/>
  <c r="K42" i="1"/>
  <c r="L42" i="1"/>
  <c r="M42" i="1"/>
  <c r="N42" i="1"/>
  <c r="O42" i="1"/>
  <c r="P42" i="1"/>
  <c r="Q42" i="1"/>
  <c r="R42" i="1"/>
  <c r="S42" i="1"/>
  <c r="T42" i="1"/>
  <c r="I43" i="1"/>
  <c r="J43" i="1"/>
  <c r="K43" i="1"/>
  <c r="L43" i="1"/>
  <c r="M43" i="1"/>
  <c r="N43" i="1"/>
  <c r="O43" i="1"/>
  <c r="P43" i="1"/>
  <c r="Q43" i="1"/>
  <c r="R43" i="1"/>
  <c r="S43" i="1"/>
  <c r="T43" i="1"/>
  <c r="I44" i="1"/>
  <c r="AB7" i="1" s="1"/>
  <c r="J44" i="1"/>
  <c r="AC7" i="1" s="1"/>
  <c r="K44" i="1"/>
  <c r="AD7" i="1" s="1"/>
  <c r="L44" i="1"/>
  <c r="M44" i="1"/>
  <c r="N44" i="1"/>
  <c r="O44" i="1"/>
  <c r="P44" i="1"/>
  <c r="Q44" i="1"/>
  <c r="R44" i="1"/>
  <c r="S44" i="1"/>
  <c r="T44" i="1"/>
  <c r="H40" i="1"/>
  <c r="H41" i="1"/>
  <c r="H42" i="1"/>
  <c r="H43" i="1"/>
  <c r="H44" i="1"/>
  <c r="AA7" i="1" s="1"/>
  <c r="H39" i="1"/>
  <c r="AA19" i="1" s="1"/>
  <c r="G40" i="1"/>
  <c r="G41" i="1"/>
  <c r="G42" i="1"/>
  <c r="G43" i="1"/>
  <c r="G44" i="1"/>
  <c r="Z7" i="1" s="1"/>
  <c r="G39" i="1"/>
  <c r="Z19" i="1" s="1"/>
  <c r="G7" i="1" l="1"/>
  <c r="G32" i="1" s="1"/>
  <c r="L8" i="1"/>
  <c r="L33" i="1" s="1"/>
  <c r="M8" i="1"/>
  <c r="M33" i="1" s="1"/>
  <c r="M57" i="1" s="1"/>
  <c r="M9" i="1"/>
  <c r="M34" i="1" s="1"/>
  <c r="N8" i="1"/>
  <c r="N9" i="1"/>
  <c r="N34" i="1" s="1"/>
  <c r="N58" i="1" s="1"/>
  <c r="N10" i="1"/>
  <c r="N35" i="1" s="1"/>
  <c r="O11" i="1"/>
  <c r="O36" i="1" s="1"/>
  <c r="O8" i="1"/>
  <c r="O9" i="1"/>
  <c r="O10" i="1"/>
  <c r="O35" i="1" s="1"/>
  <c r="O59" i="1" s="1"/>
  <c r="P8" i="1"/>
  <c r="Q8" i="1"/>
  <c r="R8" i="1"/>
  <c r="S8" i="1"/>
  <c r="P9" i="1"/>
  <c r="Q9" i="1"/>
  <c r="R9" i="1"/>
  <c r="S9" i="1"/>
  <c r="P10" i="1"/>
  <c r="Q10" i="1"/>
  <c r="R10" i="1"/>
  <c r="S10" i="1"/>
  <c r="P11" i="1"/>
  <c r="P36" i="1" s="1"/>
  <c r="P60" i="1" s="1"/>
  <c r="Q11" i="1"/>
  <c r="Q36" i="1" s="1"/>
  <c r="Q60" i="1" s="1"/>
  <c r="R11" i="1"/>
  <c r="R36" i="1" s="1"/>
  <c r="R60" i="1" s="1"/>
  <c r="S11" i="1"/>
  <c r="S36" i="1" s="1"/>
  <c r="S60" i="1" s="1"/>
  <c r="P12" i="1"/>
  <c r="P37" i="1" s="1"/>
  <c r="Q12" i="1"/>
  <c r="Q37" i="1" s="1"/>
  <c r="R12" i="1"/>
  <c r="R37" i="1" s="1"/>
  <c r="S12" i="1"/>
  <c r="S37" i="1" s="1"/>
  <c r="I4" i="1"/>
  <c r="J4" i="1"/>
  <c r="K4" i="1"/>
  <c r="L4" i="1"/>
  <c r="M4" i="1"/>
  <c r="N4" i="1"/>
  <c r="O4" i="1"/>
  <c r="P4" i="1"/>
  <c r="Q4" i="1"/>
  <c r="R4" i="1"/>
  <c r="S4" i="1"/>
  <c r="I5" i="1"/>
  <c r="J5" i="1"/>
  <c r="K5" i="1"/>
  <c r="L5" i="1"/>
  <c r="M5" i="1"/>
  <c r="N5" i="1"/>
  <c r="O5" i="1"/>
  <c r="P5" i="1"/>
  <c r="Q5" i="1"/>
  <c r="R5" i="1"/>
  <c r="S5" i="1"/>
  <c r="I6" i="1"/>
  <c r="I31" i="1" s="1"/>
  <c r="I55" i="1" s="1"/>
  <c r="J6" i="1"/>
  <c r="J31" i="1" s="1"/>
  <c r="J55" i="1" s="1"/>
  <c r="K6" i="1"/>
  <c r="K31" i="1" s="1"/>
  <c r="K55" i="1" s="1"/>
  <c r="L6" i="1"/>
  <c r="M6" i="1"/>
  <c r="N6" i="1"/>
  <c r="O6" i="1"/>
  <c r="P6" i="1"/>
  <c r="Q6" i="1"/>
  <c r="R6" i="1"/>
  <c r="S6" i="1"/>
  <c r="I7" i="1"/>
  <c r="I32" i="1" s="1"/>
  <c r="J7" i="1"/>
  <c r="J32" i="1" s="1"/>
  <c r="K7" i="1"/>
  <c r="K32" i="1" s="1"/>
  <c r="L7" i="1"/>
  <c r="L32" i="1" s="1"/>
  <c r="L56" i="1" s="1"/>
  <c r="M7" i="1"/>
  <c r="N7" i="1"/>
  <c r="O7" i="1"/>
  <c r="P7" i="1"/>
  <c r="P32" i="1" s="1"/>
  <c r="P56" i="1" s="1"/>
  <c r="Q7" i="1"/>
  <c r="Q32" i="1" s="1"/>
  <c r="Q56" i="1" s="1"/>
  <c r="R7" i="1"/>
  <c r="R32" i="1" s="1"/>
  <c r="R56" i="1" s="1"/>
  <c r="S7" i="1"/>
  <c r="S32" i="1" s="1"/>
  <c r="S56" i="1" s="1"/>
  <c r="H5" i="1"/>
  <c r="H6" i="1"/>
  <c r="H31" i="1" s="1"/>
  <c r="H55" i="1" s="1"/>
  <c r="H7" i="1"/>
  <c r="H32" i="1" s="1"/>
  <c r="H4" i="1"/>
  <c r="N32" i="1" l="1"/>
  <c r="N56" i="1" s="1"/>
  <c r="O32" i="1"/>
  <c r="O56" i="1" s="1"/>
  <c r="R31" i="1"/>
  <c r="R55" i="1" s="1"/>
  <c r="O31" i="1"/>
  <c r="O55" i="1" s="1"/>
  <c r="N31" i="1"/>
  <c r="N55" i="1" s="1"/>
  <c r="Q31" i="1"/>
  <c r="Q55" i="1" s="1"/>
  <c r="L31" i="1"/>
  <c r="L55" i="1" s="1"/>
  <c r="O34" i="1"/>
  <c r="O58" i="1" s="1"/>
  <c r="M32" i="1"/>
  <c r="M56" i="1" s="1"/>
  <c r="P31" i="1"/>
  <c r="P55" i="1" s="1"/>
  <c r="Q30" i="1"/>
  <c r="Q54" i="1" s="1"/>
  <c r="Q28" i="1"/>
  <c r="Q52" i="1" s="1"/>
  <c r="I30" i="1"/>
  <c r="I54" i="1" s="1"/>
  <c r="I28" i="1"/>
  <c r="I52" i="1" s="1"/>
  <c r="L29" i="1"/>
  <c r="L53" i="1" s="1"/>
  <c r="L27" i="1"/>
  <c r="S34" i="1"/>
  <c r="S58" i="1" s="1"/>
  <c r="AB6" i="1"/>
  <c r="I56" i="1"/>
  <c r="AB8" i="1" s="1"/>
  <c r="S30" i="1"/>
  <c r="S54" i="1" s="1"/>
  <c r="S28" i="1"/>
  <c r="S52" i="1" s="1"/>
  <c r="O30" i="1"/>
  <c r="O54" i="1" s="1"/>
  <c r="O28" i="1"/>
  <c r="O52" i="1" s="1"/>
  <c r="K30" i="1"/>
  <c r="K54" i="1" s="1"/>
  <c r="K28" i="1"/>
  <c r="K52" i="1" s="1"/>
  <c r="R27" i="1"/>
  <c r="R29" i="1"/>
  <c r="R53" i="1" s="1"/>
  <c r="N27" i="1"/>
  <c r="N29" i="1"/>
  <c r="N53" i="1" s="1"/>
  <c r="J27" i="1"/>
  <c r="J29" i="1"/>
  <c r="J53" i="1" s="1"/>
  <c r="AJ6" i="1"/>
  <c r="Q61" i="1"/>
  <c r="AJ8" i="1" s="1"/>
  <c r="Q35" i="1"/>
  <c r="Q59" i="1" s="1"/>
  <c r="Q34" i="1"/>
  <c r="Q58" i="1" s="1"/>
  <c r="Q33" i="1"/>
  <c r="Q57" i="1" s="1"/>
  <c r="O33" i="1"/>
  <c r="O57" i="1" s="1"/>
  <c r="N33" i="1"/>
  <c r="N57" i="1" s="1"/>
  <c r="Z6" i="1"/>
  <c r="G56" i="1"/>
  <c r="Z8" i="1" s="1"/>
  <c r="P29" i="1"/>
  <c r="P53" i="1" s="1"/>
  <c r="P27" i="1"/>
  <c r="H30" i="1"/>
  <c r="H54" i="1" s="1"/>
  <c r="H28" i="1"/>
  <c r="H52" i="1" s="1"/>
  <c r="S31" i="1"/>
  <c r="S55" i="1" s="1"/>
  <c r="R30" i="1"/>
  <c r="R54" i="1" s="1"/>
  <c r="R28" i="1"/>
  <c r="R52" i="1" s="1"/>
  <c r="N30" i="1"/>
  <c r="N54" i="1" s="1"/>
  <c r="N28" i="1"/>
  <c r="N52" i="1" s="1"/>
  <c r="J30" i="1"/>
  <c r="J54" i="1" s="1"/>
  <c r="J28" i="1"/>
  <c r="J52" i="1" s="1"/>
  <c r="Q29" i="1"/>
  <c r="Q53" i="1" s="1"/>
  <c r="Q27" i="1"/>
  <c r="M29" i="1"/>
  <c r="M53" i="1" s="1"/>
  <c r="M27" i="1"/>
  <c r="I29" i="1"/>
  <c r="I53" i="1" s="1"/>
  <c r="I27" i="1"/>
  <c r="AI6" i="1"/>
  <c r="P61" i="1"/>
  <c r="AI8" i="1" s="1"/>
  <c r="P35" i="1"/>
  <c r="P59" i="1" s="1"/>
  <c r="P34" i="1"/>
  <c r="P58" i="1" s="1"/>
  <c r="P33" i="1"/>
  <c r="P57" i="1" s="1"/>
  <c r="AH6" i="1"/>
  <c r="O60" i="1"/>
  <c r="AH8" i="1" s="1"/>
  <c r="M58" i="1"/>
  <c r="AF8" i="1" s="1"/>
  <c r="AF6" i="1"/>
  <c r="G6" i="1"/>
  <c r="H29" i="1"/>
  <c r="H53" i="1" s="1"/>
  <c r="H27" i="1"/>
  <c r="AD6" i="1"/>
  <c r="K56" i="1"/>
  <c r="AD8" i="1" s="1"/>
  <c r="M30" i="1"/>
  <c r="M54" i="1" s="1"/>
  <c r="M28" i="1"/>
  <c r="M52" i="1" s="1"/>
  <c r="AL6" i="1"/>
  <c r="S61" i="1"/>
  <c r="AL8" i="1" s="1"/>
  <c r="S35" i="1"/>
  <c r="S59" i="1" s="1"/>
  <c r="S33" i="1"/>
  <c r="S57" i="1" s="1"/>
  <c r="N59" i="1"/>
  <c r="AG8" i="1" s="1"/>
  <c r="AG6" i="1"/>
  <c r="AA6" i="1"/>
  <c r="H56" i="1"/>
  <c r="AA8" i="1" s="1"/>
  <c r="AC6" i="1"/>
  <c r="J56" i="1"/>
  <c r="AC8" i="1" s="1"/>
  <c r="M31" i="1"/>
  <c r="M55" i="1" s="1"/>
  <c r="P30" i="1"/>
  <c r="P54" i="1" s="1"/>
  <c r="P28" i="1"/>
  <c r="P52" i="1" s="1"/>
  <c r="L30" i="1"/>
  <c r="L54" i="1" s="1"/>
  <c r="L28" i="1"/>
  <c r="L52" i="1" s="1"/>
  <c r="S27" i="1"/>
  <c r="S29" i="1"/>
  <c r="S53" i="1" s="1"/>
  <c r="O27" i="1"/>
  <c r="O29" i="1"/>
  <c r="O53" i="1" s="1"/>
  <c r="K29" i="1"/>
  <c r="K53" i="1" s="1"/>
  <c r="K27" i="1"/>
  <c r="AK6" i="1"/>
  <c r="R61" i="1"/>
  <c r="AK8" i="1" s="1"/>
  <c r="R35" i="1"/>
  <c r="R59" i="1" s="1"/>
  <c r="R34" i="1"/>
  <c r="R58" i="1" s="1"/>
  <c r="R33" i="1"/>
  <c r="R57" i="1" s="1"/>
  <c r="AE6" i="1"/>
  <c r="L57" i="1"/>
  <c r="AE8" i="1" s="1"/>
  <c r="C6" i="1"/>
  <c r="U12" i="1" s="1"/>
  <c r="AA9" i="1" l="1"/>
  <c r="AB9" i="1" s="1"/>
  <c r="U11" i="1"/>
  <c r="U37" i="1"/>
  <c r="AD18" i="1"/>
  <c r="K51" i="1"/>
  <c r="AD20" i="1" s="1"/>
  <c r="AI18" i="1"/>
  <c r="P51" i="1"/>
  <c r="AI20" i="1" s="1"/>
  <c r="J51" i="1"/>
  <c r="AC20" i="1" s="1"/>
  <c r="AC18" i="1"/>
  <c r="R51" i="1"/>
  <c r="AK20" i="1" s="1"/>
  <c r="AK18" i="1"/>
  <c r="AL18" i="1"/>
  <c r="S51" i="1"/>
  <c r="AL20" i="1" s="1"/>
  <c r="AA18" i="1"/>
  <c r="H51" i="1"/>
  <c r="AA20" i="1" s="1"/>
  <c r="I51" i="1"/>
  <c r="AB20" i="1" s="1"/>
  <c r="AB18" i="1"/>
  <c r="Q51" i="1"/>
  <c r="AJ20" i="1" s="1"/>
  <c r="AJ18" i="1"/>
  <c r="N51" i="1"/>
  <c r="AG20" i="1" s="1"/>
  <c r="AG18" i="1"/>
  <c r="AE18" i="1"/>
  <c r="L51" i="1"/>
  <c r="AE20" i="1" s="1"/>
  <c r="AH18" i="1"/>
  <c r="O51" i="1"/>
  <c r="AH20" i="1" s="1"/>
  <c r="G31" i="1"/>
  <c r="G55" i="1" s="1"/>
  <c r="G5" i="1"/>
  <c r="M51" i="1"/>
  <c r="AF20" i="1" s="1"/>
  <c r="AF18" i="1"/>
  <c r="T12" i="1"/>
  <c r="T37" i="1" s="1"/>
  <c r="AA10" i="1" l="1"/>
  <c r="AM6" i="1"/>
  <c r="T61" i="1"/>
  <c r="AM8" i="1" s="1"/>
  <c r="AN6" i="1"/>
  <c r="U61" i="1"/>
  <c r="AN8" i="1" s="1"/>
  <c r="G4" i="1"/>
  <c r="G30" i="1"/>
  <c r="G54" i="1" s="1"/>
  <c r="G28" i="1"/>
  <c r="G52" i="1" s="1"/>
  <c r="AC9" i="1"/>
  <c r="AB10" i="1"/>
  <c r="U10" i="1"/>
  <c r="U36" i="1"/>
  <c r="U60" i="1" s="1"/>
  <c r="T11" i="1"/>
  <c r="T36" i="1" s="1"/>
  <c r="T60" i="1" s="1"/>
  <c r="AD9" i="1" l="1"/>
  <c r="AC10" i="1"/>
  <c r="U9" i="1"/>
  <c r="U35" i="1"/>
  <c r="U59" i="1" s="1"/>
  <c r="G27" i="1"/>
  <c r="G29" i="1"/>
  <c r="G53" i="1" s="1"/>
  <c r="T10" i="1"/>
  <c r="T35" i="1" s="1"/>
  <c r="T59" i="1" s="1"/>
  <c r="U8" i="1" l="1"/>
  <c r="U34" i="1"/>
  <c r="U58" i="1" s="1"/>
  <c r="G51" i="1"/>
  <c r="Z20" i="1" s="1"/>
  <c r="AA21" i="1" s="1"/>
  <c r="Z18" i="1"/>
  <c r="AD10" i="1"/>
  <c r="AE9" i="1"/>
  <c r="T9" i="1"/>
  <c r="T34" i="1" s="1"/>
  <c r="T58" i="1" s="1"/>
  <c r="AA22" i="1" l="1"/>
  <c r="AB21" i="1"/>
  <c r="AF9" i="1"/>
  <c r="AE10" i="1"/>
  <c r="U7" i="1"/>
  <c r="U33" i="1"/>
  <c r="U57" i="1" s="1"/>
  <c r="T8" i="1"/>
  <c r="T33" i="1" s="1"/>
  <c r="T57" i="1" s="1"/>
  <c r="AG9" i="1" l="1"/>
  <c r="AF10" i="1"/>
  <c r="AB22" i="1"/>
  <c r="AC21" i="1"/>
  <c r="U6" i="1"/>
  <c r="U32" i="1"/>
  <c r="U56" i="1" s="1"/>
  <c r="T7" i="1"/>
  <c r="T32" i="1" s="1"/>
  <c r="T56" i="1" s="1"/>
  <c r="AD21" i="1" l="1"/>
  <c r="AC22" i="1"/>
  <c r="U5" i="1"/>
  <c r="U31" i="1"/>
  <c r="U55" i="1" s="1"/>
  <c r="AG10" i="1"/>
  <c r="AH9" i="1"/>
  <c r="T6" i="1"/>
  <c r="T31" i="1" s="1"/>
  <c r="T55" i="1" s="1"/>
  <c r="U4" i="1" l="1"/>
  <c r="U30" i="1"/>
  <c r="U54" i="1" s="1"/>
  <c r="U28" i="1"/>
  <c r="U52" i="1" s="1"/>
  <c r="AH10" i="1"/>
  <c r="AI9" i="1"/>
  <c r="AE21" i="1"/>
  <c r="AD22" i="1"/>
  <c r="T4" i="1"/>
  <c r="T5" i="1"/>
  <c r="T29" i="1" l="1"/>
  <c r="T53" i="1" s="1"/>
  <c r="T27" i="1"/>
  <c r="AF21" i="1"/>
  <c r="AE22" i="1"/>
  <c r="T30" i="1"/>
  <c r="T54" i="1" s="1"/>
  <c r="T28" i="1"/>
  <c r="T52" i="1" s="1"/>
  <c r="AI10" i="1"/>
  <c r="AJ9" i="1"/>
  <c r="U29" i="1"/>
  <c r="U53" i="1" s="1"/>
  <c r="U27" i="1"/>
  <c r="AK9" i="1" l="1"/>
  <c r="AJ10" i="1"/>
  <c r="AG21" i="1"/>
  <c r="AF22" i="1"/>
  <c r="AM18" i="1"/>
  <c r="T51" i="1"/>
  <c r="AM20" i="1" s="1"/>
  <c r="U51" i="1"/>
  <c r="AN20" i="1" s="1"/>
  <c r="AN18" i="1"/>
  <c r="AG22" i="1" l="1"/>
  <c r="AH21" i="1"/>
  <c r="AL9" i="1"/>
  <c r="AK10" i="1"/>
  <c r="AL10" i="1" l="1"/>
  <c r="AM9" i="1"/>
  <c r="AI21" i="1"/>
  <c r="AH22" i="1"/>
  <c r="AJ21" i="1" l="1"/>
  <c r="AI22" i="1"/>
  <c r="AN9" i="1"/>
  <c r="AN10" i="1" s="1"/>
  <c r="AM10" i="1"/>
  <c r="AJ22" i="1" l="1"/>
  <c r="AK21" i="1"/>
  <c r="AK22" i="1" l="1"/>
  <c r="AL21" i="1"/>
  <c r="AL22" i="1" l="1"/>
  <c r="AM21" i="1"/>
  <c r="AM22" i="1" l="1"/>
  <c r="AN21" i="1"/>
  <c r="AN22" i="1" s="1"/>
</calcChain>
</file>

<file path=xl/sharedStrings.xml><?xml version="1.0" encoding="utf-8"?>
<sst xmlns="http://schemas.openxmlformats.org/spreadsheetml/2006/main" count="35" uniqueCount="20">
  <si>
    <t>dx=dy</t>
  </si>
  <si>
    <t>V_in</t>
  </si>
  <si>
    <t>p_in</t>
  </si>
  <si>
    <t>V_out</t>
  </si>
  <si>
    <t>n_iter</t>
  </si>
  <si>
    <t>N_L</t>
  </si>
  <si>
    <t>N_M</t>
  </si>
  <si>
    <t>start_Row</t>
  </si>
  <si>
    <t>start_Columr</t>
  </si>
  <si>
    <t>ψ</t>
  </si>
  <si>
    <t>U</t>
  </si>
  <si>
    <t>V</t>
  </si>
  <si>
    <t>Vel</t>
  </si>
  <si>
    <t>x</t>
  </si>
  <si>
    <t>y</t>
  </si>
  <si>
    <t>p</t>
  </si>
  <si>
    <t>Cp</t>
  </si>
  <si>
    <t>Нижняя граница</t>
  </si>
  <si>
    <t>Верхняя граница</t>
  </si>
  <si>
    <t>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</si>
</sst>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0.0"/>
  </numFmts>
  <fonts count="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b/>
      <i/>
      <sz val="20"/>
      <color theme="1"/>
      <name val="Calibri"/>
      <family val="2"/>
      <charset val="204"/>
      <scheme val="minor"/>
    </font>
    <font>
      <b/>
      <i/>
      <sz val="18"/>
      <color theme="1"/>
      <name val="Calibri"/>
      <family val="2"/>
      <charset val="204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2" fontId="0" fillId="0" borderId="0" xfId="0" applyNumberFormat="1"/>
    <xf numFmtId="2" fontId="0" fillId="8" borderId="0" xfId="0" applyNumberFormat="1" applyFill="1"/>
    <xf numFmtId="2" fontId="0" fillId="9" borderId="0" xfId="0" applyNumberFormat="1" applyFill="1"/>
    <xf numFmtId="0" fontId="0" fillId="9" borderId="0" xfId="0" applyFill="1"/>
    <xf numFmtId="2" fontId="0" fillId="10" borderId="0" xfId="0" applyNumberFormat="1" applyFill="1"/>
    <xf numFmtId="2" fontId="0" fillId="0" borderId="0" xfId="0" applyNumberFormat="1" applyFill="1"/>
    <xf numFmtId="2" fontId="0" fillId="11" borderId="0" xfId="0" applyNumberFormat="1" applyFill="1"/>
    <xf numFmtId="2" fontId="0" fillId="12" borderId="0" xfId="0" applyNumberFormat="1" applyFill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/>
    <xf numFmtId="0" fontId="0" fillId="0" borderId="0" xfId="0" applyAlignment="1"/>
    <xf numFmtId="0" fontId="1" fillId="0" borderId="0" xfId="0" applyFont="1" applyFill="1"/>
    <xf numFmtId="0" fontId="0" fillId="9" borderId="0" xfId="0" applyFill="1" applyAlignment="1">
      <alignment horizontal="center"/>
    </xf>
    <xf numFmtId="0" fontId="3" fillId="9" borderId="0" xfId="0" applyFont="1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2" fillId="9" borderId="0" xfId="0" applyFont="1" applyFill="1" applyAlignment="1">
      <alignment horizontal="center"/>
    </xf>
    <xf numFmtId="0" fontId="1" fillId="9" borderId="0" xfId="0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2" fontId="1" fillId="9" borderId="0" xfId="0" applyNumberFormat="1" applyFont="1" applyFill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  <xf numFmtId="165" fontId="1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2D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71640407623119E-2"/>
          <c:y val="0.10314673620253505"/>
          <c:w val="0.7877517744697945"/>
          <c:h val="0.86335923745826137"/>
        </c:manualLayout>
      </c:layout>
      <c:lineChart>
        <c:grouping val="standard"/>
        <c:varyColors val="0"/>
        <c:ser>
          <c:idx val="0"/>
          <c:order val="0"/>
          <c:tx>
            <c:v>Нижняя стенка</c:v>
          </c:tx>
          <c:spPr>
            <a:ln w="22225" cap="rnd">
              <a:solidFill>
                <a:schemeClr val="accent1"/>
              </a:solidFill>
              <a:round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Лист1!$Z$4:$AN$4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Лист1!$Z$10:$AN$10</c:f>
              <c:numCache>
                <c:formatCode>0.00</c:formatCode>
                <c:ptCount val="15"/>
                <c:pt idx="0">
                  <c:v>0</c:v>
                </c:pt>
                <c:pt idx="1">
                  <c:v>-3.5734414323815147E-2</c:v>
                </c:pt>
                <c:pt idx="2">
                  <c:v>-9.1027897609164937E-2</c:v>
                </c:pt>
                <c:pt idx="3">
                  <c:v>-0.20355959277774674</c:v>
                </c:pt>
                <c:pt idx="4">
                  <c:v>-0.59332127056812167</c:v>
                </c:pt>
                <c:pt idx="5">
                  <c:v>0.49679130004369654</c:v>
                </c:pt>
                <c:pt idx="6">
                  <c:v>0.70930421997531079</c:v>
                </c:pt>
                <c:pt idx="7">
                  <c:v>0.81588217775337402</c:v>
                </c:pt>
                <c:pt idx="8">
                  <c:v>0.88938830738421526</c:v>
                </c:pt>
                <c:pt idx="9">
                  <c:v>0.95233808534452691</c:v>
                </c:pt>
                <c:pt idx="10">
                  <c:v>0.89242080992698902</c:v>
                </c:pt>
                <c:pt idx="11">
                  <c:v>0.84549838249076859</c:v>
                </c:pt>
                <c:pt idx="12">
                  <c:v>0.80892157868511272</c:v>
                </c:pt>
                <c:pt idx="13">
                  <c:v>0.77837339297431751</c:v>
                </c:pt>
                <c:pt idx="14">
                  <c:v>0.75</c:v>
                </c:pt>
              </c:numCache>
            </c:numRef>
          </c:val>
          <c:smooth val="0"/>
        </c:ser>
        <c:ser>
          <c:idx val="1"/>
          <c:order val="1"/>
          <c:tx>
            <c:v>Верхняя стенка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Лист1!$Z$4:$AN$4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Лист1!$Z$22:$AN$22</c:f>
              <c:numCache>
                <c:formatCode>0.00</c:formatCode>
                <c:ptCount val="15"/>
                <c:pt idx="0">
                  <c:v>0</c:v>
                </c:pt>
                <c:pt idx="1">
                  <c:v>2.8141407908697146E-2</c:v>
                </c:pt>
                <c:pt idx="2">
                  <c:v>6.3811199651390774E-2</c:v>
                </c:pt>
                <c:pt idx="3">
                  <c:v>0.11457971536059632</c:v>
                </c:pt>
                <c:pt idx="4">
                  <c:v>0.1856783459187136</c:v>
                </c:pt>
                <c:pt idx="5">
                  <c:v>0.27483659515884939</c:v>
                </c:pt>
                <c:pt idx="6">
                  <c:v>0.36818811577104499</c:v>
                </c:pt>
                <c:pt idx="7">
                  <c:v>0.45396913476579359</c:v>
                </c:pt>
                <c:pt idx="8">
                  <c:v>0.52676598981750433</c:v>
                </c:pt>
                <c:pt idx="9">
                  <c:v>0.58589179273287295</c:v>
                </c:pt>
                <c:pt idx="10">
                  <c:v>0.63300590336730234</c:v>
                </c:pt>
                <c:pt idx="11">
                  <c:v>0.67057182384218317</c:v>
                </c:pt>
                <c:pt idx="12">
                  <c:v>0.7011111315496964</c:v>
                </c:pt>
                <c:pt idx="13">
                  <c:v>0.72692013678693912</c:v>
                </c:pt>
                <c:pt idx="14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982520"/>
        <c:axId val="484977816"/>
      </c:lineChart>
      <c:catAx>
        <c:axId val="48498252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4977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497781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4982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00158955439104"/>
          <c:y val="5.205075309952388E-2"/>
          <c:w val="0.76885439206347095"/>
          <c:h val="0.87729463570971888"/>
        </c:manualLayout>
      </c:layout>
      <c:lineChart>
        <c:grouping val="standard"/>
        <c:varyColors val="0"/>
        <c:ser>
          <c:idx val="0"/>
          <c:order val="0"/>
          <c:spPr>
            <a:ln w="22225" cap="rnd">
              <a:solidFill>
                <a:srgbClr val="92D050"/>
              </a:solidFill>
            </a:ln>
            <a:effectLst>
              <a:glow rad="139700">
                <a:srgbClr val="92D050">
                  <a:alpha val="14000"/>
                </a:srgbClr>
              </a:glow>
            </a:effectLst>
          </c:spPr>
          <c:marker>
            <c:symbol val="none"/>
          </c:marker>
          <c:cat>
            <c:numRef>
              <c:f>Лист1!$Z$4:$AN$4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Лист1!$Z$56:$AN$56</c:f>
              <c:numCache>
                <c:formatCode>0.00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0.8</c:v>
                </c:pt>
                <c:pt idx="6">
                  <c:v>0.6</c:v>
                </c:pt>
                <c:pt idx="7">
                  <c:v>0.4</c:v>
                </c:pt>
                <c:pt idx="8">
                  <c:v>0.2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ser>
          <c:idx val="1"/>
          <c:order val="1"/>
          <c:spPr>
            <a:ln w="22225" cap="rnd">
              <a:solidFill>
                <a:schemeClr val="bg1"/>
              </a:solidFill>
            </a:ln>
            <a:effectLst>
              <a:glow rad="139700">
                <a:schemeClr val="bg1"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Лист1!$Z$55:$AN$55</c:f>
              <c:numCache>
                <c:formatCode>0.00</c:formatCode>
                <c:ptCount val="15"/>
                <c:pt idx="0">
                  <c:v>1.05</c:v>
                </c:pt>
                <c:pt idx="1">
                  <c:v>1.0491298946600744</c:v>
                </c:pt>
                <c:pt idx="2">
                  <c:v>1.0478687567381197</c:v>
                </c:pt>
                <c:pt idx="3">
                  <c:v>1.0455760121271813</c:v>
                </c:pt>
                <c:pt idx="4">
                  <c:v>1.041055453938865</c:v>
                </c:pt>
                <c:pt idx="5">
                  <c:v>0.90529031037673058</c:v>
                </c:pt>
                <c:pt idx="6">
                  <c:v>0.76188755331284952</c:v>
                </c:pt>
                <c:pt idx="7">
                  <c:v>0.62756101745024717</c:v>
                </c:pt>
                <c:pt idx="8">
                  <c:v>0.5073896471530388</c:v>
                </c:pt>
                <c:pt idx="9">
                  <c:v>0.40397991110543507</c:v>
                </c:pt>
                <c:pt idx="10">
                  <c:v>0.31829936151411775</c:v>
                </c:pt>
                <c:pt idx="11">
                  <c:v>0.24888450971844034</c:v>
                </c:pt>
                <c:pt idx="12">
                  <c:v>0.19232750798246667</c:v>
                </c:pt>
                <c:pt idx="13">
                  <c:v>0.14426788894321074</c:v>
                </c:pt>
                <c:pt idx="14">
                  <c:v>0.1000000000000002</c:v>
                </c:pt>
              </c:numCache>
            </c:numRef>
          </c:val>
          <c:smooth val="0"/>
        </c:ser>
        <c:ser>
          <c:idx val="2"/>
          <c:order val="2"/>
          <c:spPr>
            <a:ln w="22225" cap="rnd">
              <a:solidFill>
                <a:schemeClr val="bg1"/>
              </a:solidFill>
            </a:ln>
            <a:effectLst>
              <a:glow rad="139700">
                <a:schemeClr val="bg1"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Лист1!$Z$54:$AN$54</c:f>
              <c:numCache>
                <c:formatCode>0.00</c:formatCode>
                <c:ptCount val="15"/>
                <c:pt idx="0">
                  <c:v>1.25</c:v>
                </c:pt>
                <c:pt idx="1">
                  <c:v>1.2460614162290951</c:v>
                </c:pt>
                <c:pt idx="2">
                  <c:v>1.2403375323170083</c:v>
                </c:pt>
                <c:pt idx="3">
                  <c:v>1.2297295679882003</c:v>
                </c:pt>
                <c:pt idx="4">
                  <c:v>1.2063058799671988</c:v>
                </c:pt>
                <c:pt idx="5">
                  <c:v>1.1350157045656091</c:v>
                </c:pt>
                <c:pt idx="6">
                  <c:v>1.046138411810499</c:v>
                </c:pt>
                <c:pt idx="7">
                  <c:v>0.95345438756771894</c:v>
                </c:pt>
                <c:pt idx="8">
                  <c:v>0.86447913515367958</c:v>
                </c:pt>
                <c:pt idx="9">
                  <c:v>0.78327312112775993</c:v>
                </c:pt>
                <c:pt idx="10">
                  <c:v>0.71167618219686579</c:v>
                </c:pt>
                <c:pt idx="11">
                  <c:v>0.64965810006395097</c:v>
                </c:pt>
                <c:pt idx="12">
                  <c:v>0.59564359112090248</c:v>
                </c:pt>
                <c:pt idx="13">
                  <c:v>0.54693080108509184</c:v>
                </c:pt>
                <c:pt idx="14">
                  <c:v>0.50000000000000011</c:v>
                </c:pt>
              </c:numCache>
            </c:numRef>
          </c:val>
          <c:smooth val="0"/>
        </c:ser>
        <c:ser>
          <c:idx val="3"/>
          <c:order val="3"/>
          <c:spPr>
            <a:ln w="22225" cap="rnd">
              <a:solidFill>
                <a:schemeClr val="bg1"/>
              </a:solidFill>
            </a:ln>
            <a:effectLst>
              <a:glow rad="139700">
                <a:schemeClr val="bg1"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Лист1!$Z$53:$AN$53</c:f>
              <c:numCache>
                <c:formatCode>0.00</c:formatCode>
                <c:ptCount val="15"/>
                <c:pt idx="0">
                  <c:v>1.5</c:v>
                </c:pt>
                <c:pt idx="1">
                  <c:v>1.4949323333062368</c:v>
                </c:pt>
                <c:pt idx="2">
                  <c:v>1.4879345255735488</c:v>
                </c:pt>
                <c:pt idx="3">
                  <c:v>1.4763333400139103</c:v>
                </c:pt>
                <c:pt idx="4">
                  <c:v>1.4555947838013366</c:v>
                </c:pt>
                <c:pt idx="5">
                  <c:v>1.4180355343495721</c:v>
                </c:pt>
                <c:pt idx="6">
                  <c:v>1.3693676808868229</c:v>
                </c:pt>
                <c:pt idx="7">
                  <c:v>1.3154149641928512</c:v>
                </c:pt>
                <c:pt idx="8">
                  <c:v>1.260661789745652</c:v>
                </c:pt>
                <c:pt idx="9">
                  <c:v>1.2081412065852897</c:v>
                </c:pt>
                <c:pt idx="10">
                  <c:v>1.1595678568740422</c:v>
                </c:pt>
                <c:pt idx="11">
                  <c:v>1.1154556387619776</c:v>
                </c:pt>
                <c:pt idx="12">
                  <c:v>1.075253209453632</c:v>
                </c:pt>
                <c:pt idx="13">
                  <c:v>1.0375100224564178</c:v>
                </c:pt>
                <c:pt idx="14">
                  <c:v>0.99999999999999956</c:v>
                </c:pt>
              </c:numCache>
            </c:numRef>
          </c:val>
          <c:smooth val="0"/>
        </c:ser>
        <c:ser>
          <c:idx val="4"/>
          <c:order val="4"/>
          <c:spPr>
            <a:ln w="22225" cap="rnd">
              <a:solidFill>
                <a:schemeClr val="bg1"/>
              </a:solidFill>
            </a:ln>
            <a:effectLst>
              <a:glow rad="139700">
                <a:schemeClr val="bg1"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Лист1!$Z$52:$AN$52</c:f>
              <c:numCache>
                <c:formatCode>0.00</c:formatCode>
                <c:ptCount val="15"/>
                <c:pt idx="0">
                  <c:v>1.75</c:v>
                </c:pt>
                <c:pt idx="1">
                  <c:v>1.7466276886374463</c:v>
                </c:pt>
                <c:pt idx="2">
                  <c:v>1.7421192905010554</c:v>
                </c:pt>
                <c:pt idx="3">
                  <c:v>1.7351410934325795</c:v>
                </c:pt>
                <c:pt idx="4">
                  <c:v>1.7239931165748308</c:v>
                </c:pt>
                <c:pt idx="5">
                  <c:v>1.7070632154347269</c:v>
                </c:pt>
                <c:pt idx="6">
                  <c:v>1.6853700517740735</c:v>
                </c:pt>
                <c:pt idx="7">
                  <c:v>1.660751990611983</c:v>
                </c:pt>
                <c:pt idx="8">
                  <c:v>1.6349995652331901</c:v>
                </c:pt>
                <c:pt idx="9">
                  <c:v>1.6095247400596546</c:v>
                </c:pt>
                <c:pt idx="10">
                  <c:v>1.5852412570021603</c:v>
                </c:pt>
                <c:pt idx="11">
                  <c:v>1.5625282048415523</c:v>
                </c:pt>
                <c:pt idx="12">
                  <c:v>1.5412424174642207</c:v>
                </c:pt>
                <c:pt idx="13">
                  <c:v>1.5207582346648079</c:v>
                </c:pt>
                <c:pt idx="14">
                  <c:v>1.5</c:v>
                </c:pt>
              </c:numCache>
            </c:numRef>
          </c:val>
          <c:smooth val="0"/>
        </c:ser>
        <c:ser>
          <c:idx val="5"/>
          <c:order val="5"/>
          <c:spPr>
            <a:ln w="22225" cap="rnd">
              <a:solidFill>
                <a:schemeClr val="bg1"/>
              </a:solidFill>
            </a:ln>
            <a:effectLst>
              <a:glow rad="139700">
                <a:schemeClr val="bg1"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Лист1!$Z$51:$AN$51</c:f>
              <c:numCache>
                <c:formatCode>0.00</c:formatCode>
                <c:ptCount val="15"/>
                <c:pt idx="0">
                  <c:v>1.95</c:v>
                </c:pt>
                <c:pt idx="1">
                  <c:v>1.9492812626278475</c:v>
                </c:pt>
                <c:pt idx="2">
                  <c:v>1.94832407997682</c:v>
                </c:pt>
                <c:pt idx="3">
                  <c:v>1.9468632296705</c:v>
                </c:pt>
                <c:pt idx="4">
                  <c:v>1.9445920810899722</c:v>
                </c:pt>
                <c:pt idx="5">
                  <c:v>1.9412846303246551</c:v>
                </c:pt>
                <c:pt idx="6">
                  <c:v>1.9370963631386382</c:v>
                </c:pt>
                <c:pt idx="7">
                  <c:v>1.9323354910422728</c:v>
                </c:pt>
                <c:pt idx="8">
                  <c:v>1.9273172278163331</c:v>
                </c:pt>
                <c:pt idx="9">
                  <c:v>1.9223015312673915</c:v>
                </c:pt>
                <c:pt idx="10">
                  <c:v>1.9174646763952969</c:v>
                </c:pt>
                <c:pt idx="11">
                  <c:v>1.9128857770235868</c:v>
                </c:pt>
                <c:pt idx="12">
                  <c:v>1.9085434707141742</c:v>
                </c:pt>
                <c:pt idx="13">
                  <c:v>1.9043191715397745</c:v>
                </c:pt>
                <c:pt idx="14">
                  <c:v>1.9</c:v>
                </c:pt>
              </c:numCache>
            </c:numRef>
          </c:val>
          <c:smooth val="0"/>
        </c:ser>
        <c:ser>
          <c:idx val="6"/>
          <c:order val="6"/>
          <c:spPr>
            <a:ln w="22225" cap="rnd">
              <a:solidFill>
                <a:srgbClr val="92D050"/>
              </a:solidFill>
            </a:ln>
            <a:effectLst>
              <a:glow rad="139700">
                <a:srgbClr val="92D050">
                  <a:alpha val="14000"/>
                </a:srgbClr>
              </a:glow>
            </a:effectLst>
          </c:spPr>
          <c:marker>
            <c:symbol val="none"/>
          </c:marker>
          <c:val>
            <c:numRef>
              <c:f>Лист1!$Z$50:$AN$50</c:f>
              <c:numCache>
                <c:formatCode>0.00</c:formatCode>
                <c:ptCount val="1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2957392"/>
        <c:axId val="492959352"/>
      </c:lineChart>
      <c:catAx>
        <c:axId val="49295739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2959352"/>
        <c:crosses val="autoZero"/>
        <c:auto val="1"/>
        <c:lblAlgn val="ctr"/>
        <c:lblOffset val="100"/>
        <c:noMultiLvlLbl val="0"/>
      </c:catAx>
      <c:valAx>
        <c:axId val="49295935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2957392"/>
        <c:crosses val="autoZero"/>
        <c:crossBetween val="midCat"/>
      </c:valAx>
      <c:spPr>
        <a:noFill/>
        <a:ln>
          <a:noFill/>
        </a:ln>
        <a:effectLst>
          <a:glow rad="127000">
            <a:schemeClr val="accent1"/>
          </a:glow>
        </a:effectLst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14</xdr:row>
          <xdr:rowOff>180975</xdr:rowOff>
        </xdr:from>
        <xdr:to>
          <xdr:col>2</xdr:col>
          <xdr:colOff>400050</xdr:colOff>
          <xdr:row>18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Нажми меня…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603250</xdr:colOff>
      <xdr:row>22</xdr:row>
      <xdr:rowOff>178857</xdr:rowOff>
    </xdr:from>
    <xdr:to>
      <xdr:col>42</xdr:col>
      <xdr:colOff>433916</xdr:colOff>
      <xdr:row>44</xdr:row>
      <xdr:rowOff>158750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33</xdr:col>
      <xdr:colOff>613834</xdr:colOff>
      <xdr:row>24</xdr:row>
      <xdr:rowOff>31751</xdr:rowOff>
    </xdr:from>
    <xdr:ext cx="401841" cy="342786"/>
    <xdr:sp macro="" textlink="">
      <xdr:nvSpPr>
        <xdr:cNvPr id="3" name="TextBox 2"/>
        <xdr:cNvSpPr txBox="1"/>
      </xdr:nvSpPr>
      <xdr:spPr>
        <a:xfrm>
          <a:off x="16562917" y="4603751"/>
          <a:ext cx="401841" cy="342786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600">
              <a:solidFill>
                <a:schemeClr val="bg1"/>
              </a:solidFill>
            </a:rPr>
            <a:t>С</a:t>
          </a:r>
          <a:r>
            <a:rPr lang="en-US" sz="1600">
              <a:solidFill>
                <a:schemeClr val="bg1"/>
              </a:solidFill>
            </a:rPr>
            <a:t>p</a:t>
          </a:r>
          <a:endParaRPr lang="ru-RU" sz="1100">
            <a:solidFill>
              <a:schemeClr val="bg1"/>
            </a:solidFill>
          </a:endParaRPr>
        </a:p>
      </xdr:txBody>
    </xdr:sp>
    <xdr:clientData/>
  </xdr:oneCellAnchor>
  <xdr:oneCellAnchor>
    <xdr:from>
      <xdr:col>41</xdr:col>
      <xdr:colOff>353483</xdr:colOff>
      <xdr:row>35</xdr:row>
      <xdr:rowOff>110068</xdr:rowOff>
    </xdr:from>
    <xdr:ext cx="635623" cy="342786"/>
    <xdr:sp macro="" textlink="">
      <xdr:nvSpPr>
        <xdr:cNvPr id="5" name="TextBox 4"/>
        <xdr:cNvSpPr txBox="1"/>
      </xdr:nvSpPr>
      <xdr:spPr>
        <a:xfrm>
          <a:off x="21805900" y="6777568"/>
          <a:ext cx="635623" cy="342786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>
              <a:solidFill>
                <a:schemeClr val="bg1"/>
              </a:solidFill>
            </a:rPr>
            <a:t>x,</a:t>
          </a:r>
          <a:r>
            <a:rPr lang="en-US" sz="1600" baseline="0">
              <a:solidFill>
                <a:schemeClr val="bg1"/>
              </a:solidFill>
            </a:rPr>
            <a:t> [</a:t>
          </a:r>
          <a:r>
            <a:rPr lang="ru-RU" sz="1600" baseline="0">
              <a:solidFill>
                <a:schemeClr val="bg1"/>
              </a:solidFill>
            </a:rPr>
            <a:t>м</a:t>
          </a:r>
          <a:r>
            <a:rPr lang="en-US" sz="1600" baseline="0">
              <a:solidFill>
                <a:schemeClr val="bg1"/>
              </a:solidFill>
            </a:rPr>
            <a:t>]</a:t>
          </a:r>
          <a:endParaRPr lang="ru-RU" sz="1100">
            <a:solidFill>
              <a:schemeClr val="bg1"/>
            </a:solidFill>
          </a:endParaRPr>
        </a:p>
      </xdr:txBody>
    </xdr:sp>
    <xdr:clientData/>
  </xdr:oneCellAnchor>
  <xdr:twoCellAnchor>
    <xdr:from>
      <xdr:col>23</xdr:col>
      <xdr:colOff>560916</xdr:colOff>
      <xdr:row>22</xdr:row>
      <xdr:rowOff>158749</xdr:rowOff>
    </xdr:from>
    <xdr:to>
      <xdr:col>33</xdr:col>
      <xdr:colOff>412750</xdr:colOff>
      <xdr:row>44</xdr:row>
      <xdr:rowOff>137583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60325</xdr:colOff>
          <xdr:row>18</xdr:row>
          <xdr:rowOff>104774</xdr:rowOff>
        </xdr:from>
        <xdr:to>
          <xdr:col>2</xdr:col>
          <xdr:colOff>412750</xdr:colOff>
          <xdr:row>20</xdr:row>
          <xdr:rowOff>190499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 всё к началу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0.89684</cdr:x>
      <cdr:y>0.88528</cdr:y>
    </cdr:from>
    <cdr:to>
      <cdr:x>0.99187</cdr:x>
      <cdr:y>0.96749</cdr:y>
    </cdr:to>
    <cdr:sp macro="" textlink="">
      <cdr:nvSpPr>
        <cdr:cNvPr id="2" name="TextBox 4"/>
        <cdr:cNvSpPr txBox="1"/>
      </cdr:nvSpPr>
      <cdr:spPr>
        <a:xfrm xmlns:a="http://schemas.openxmlformats.org/drawingml/2006/main">
          <a:off x="5998634" y="3691467"/>
          <a:ext cx="635623" cy="342786"/>
        </a:xfrm>
        <a:prstGeom xmlns:a="http://schemas.openxmlformats.org/drawingml/2006/main" prst="rect">
          <a:avLst/>
        </a:prstGeom>
        <a:solidFill xmlns:a="http://schemas.openxmlformats.org/drawingml/2006/main">
          <a:schemeClr val="tx1">
            <a:lumMod val="75000"/>
            <a:lumOff val="25000"/>
          </a:schemeClr>
        </a:solidFill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>
              <a:solidFill>
                <a:schemeClr val="bg1"/>
              </a:solidFill>
            </a:rPr>
            <a:t>x,</a:t>
          </a:r>
          <a:r>
            <a:rPr lang="en-US" sz="1600" baseline="0">
              <a:solidFill>
                <a:schemeClr val="bg1"/>
              </a:solidFill>
            </a:rPr>
            <a:t> [</a:t>
          </a:r>
          <a:r>
            <a:rPr lang="ru-RU" sz="1600" baseline="0">
              <a:solidFill>
                <a:schemeClr val="bg1"/>
              </a:solidFill>
            </a:rPr>
            <a:t>м</a:t>
          </a:r>
          <a:r>
            <a:rPr lang="en-US" sz="1600" baseline="0">
              <a:solidFill>
                <a:schemeClr val="bg1"/>
              </a:solidFill>
            </a:rPr>
            <a:t>]</a:t>
          </a:r>
          <a:endParaRPr lang="ru-RU" sz="11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0.00443</cdr:x>
      <cdr:y>0.01472</cdr:y>
    </cdr:from>
    <cdr:to>
      <cdr:x>0.10005</cdr:x>
      <cdr:y>0.09693</cdr:y>
    </cdr:to>
    <cdr:sp macro="" textlink="">
      <cdr:nvSpPr>
        <cdr:cNvPr id="3" name="TextBox 4"/>
        <cdr:cNvSpPr txBox="1"/>
      </cdr:nvSpPr>
      <cdr:spPr>
        <a:xfrm xmlns:a="http://schemas.openxmlformats.org/drawingml/2006/main">
          <a:off x="29633" y="61383"/>
          <a:ext cx="639599" cy="342786"/>
        </a:xfrm>
        <a:prstGeom xmlns:a="http://schemas.openxmlformats.org/drawingml/2006/main" prst="rect">
          <a:avLst/>
        </a:prstGeom>
        <a:solidFill xmlns:a="http://schemas.openxmlformats.org/drawingml/2006/main">
          <a:schemeClr val="tx1">
            <a:lumMod val="75000"/>
            <a:lumOff val="25000"/>
          </a:schemeClr>
        </a:solidFill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>
              <a:solidFill>
                <a:schemeClr val="bg1"/>
              </a:solidFill>
            </a:rPr>
            <a:t>y,</a:t>
          </a:r>
          <a:r>
            <a:rPr lang="en-US" sz="1600" baseline="0">
              <a:solidFill>
                <a:schemeClr val="bg1"/>
              </a:solidFill>
            </a:rPr>
            <a:t> [</a:t>
          </a:r>
          <a:r>
            <a:rPr lang="ru-RU" sz="1600" baseline="0">
              <a:solidFill>
                <a:schemeClr val="bg1"/>
              </a:solidFill>
            </a:rPr>
            <a:t>м</a:t>
          </a:r>
          <a:r>
            <a:rPr lang="en-US" sz="1600" baseline="0">
              <a:solidFill>
                <a:schemeClr val="bg1"/>
              </a:solidFill>
            </a:rPr>
            <a:t>]</a:t>
          </a:r>
          <a:endParaRPr lang="ru-RU" sz="11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0.875</cdr:x>
      <cdr:y>0.19036</cdr:y>
    </cdr:from>
    <cdr:to>
      <cdr:x>0.96994</cdr:x>
      <cdr:y>0.26142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5852584" y="793751"/>
          <a:ext cx="635000" cy="2963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l-GR" sz="1200">
              <a:solidFill>
                <a:schemeClr val="bg1"/>
              </a:solidFill>
            </a:rPr>
            <a:t>ψ</a:t>
          </a:r>
          <a:r>
            <a:rPr lang="en-US" sz="1200">
              <a:solidFill>
                <a:schemeClr val="bg1"/>
              </a:solidFill>
            </a:rPr>
            <a:t>=10</a:t>
          </a:r>
          <a:endParaRPr lang="ru-RU" sz="11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0.86994</cdr:x>
      <cdr:y>0.23299</cdr:y>
    </cdr:from>
    <cdr:to>
      <cdr:x>0.96487</cdr:x>
      <cdr:y>0.30406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5818717" y="971550"/>
          <a:ext cx="635000" cy="2963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bg1"/>
              </a:solidFill>
            </a:rPr>
            <a:t>9,5</a:t>
          </a:r>
          <a:endParaRPr lang="ru-RU" sz="11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0.87152</cdr:x>
      <cdr:y>0.37005</cdr:y>
    </cdr:from>
    <cdr:to>
      <cdr:x>0.96646</cdr:x>
      <cdr:y>0.44112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5829300" y="1543050"/>
          <a:ext cx="635000" cy="2963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bg1"/>
              </a:solidFill>
            </a:rPr>
            <a:t>7,5</a:t>
          </a:r>
          <a:endParaRPr lang="ru-RU" sz="11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0.8731</cdr:x>
      <cdr:y>0.54264</cdr:y>
    </cdr:from>
    <cdr:to>
      <cdr:x>0.96804</cdr:x>
      <cdr:y>0.61371</cdr:y>
    </cdr:to>
    <cdr:sp macro="" textlink="">
      <cdr:nvSpPr>
        <cdr:cNvPr id="7" name="TextBox 1"/>
        <cdr:cNvSpPr txBox="1"/>
      </cdr:nvSpPr>
      <cdr:spPr>
        <a:xfrm xmlns:a="http://schemas.openxmlformats.org/drawingml/2006/main">
          <a:off x="5839884" y="2262717"/>
          <a:ext cx="635000" cy="2963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bg1"/>
              </a:solidFill>
            </a:rPr>
            <a:t>5,0</a:t>
          </a:r>
          <a:endParaRPr lang="ru-RU" sz="11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0.87152</cdr:x>
      <cdr:y>0.71269</cdr:y>
    </cdr:from>
    <cdr:to>
      <cdr:x>0.96646</cdr:x>
      <cdr:y>0.78376</cdr:y>
    </cdr:to>
    <cdr:sp macro="" textlink="">
      <cdr:nvSpPr>
        <cdr:cNvPr id="8" name="TextBox 1"/>
        <cdr:cNvSpPr txBox="1"/>
      </cdr:nvSpPr>
      <cdr:spPr>
        <a:xfrm xmlns:a="http://schemas.openxmlformats.org/drawingml/2006/main">
          <a:off x="5829300" y="2971800"/>
          <a:ext cx="635000" cy="2963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bg1"/>
              </a:solidFill>
            </a:rPr>
            <a:t>2,5</a:t>
          </a:r>
          <a:endParaRPr lang="ru-RU" sz="11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0.86519</cdr:x>
      <cdr:y>0.83706</cdr:y>
    </cdr:from>
    <cdr:to>
      <cdr:x>0.96013</cdr:x>
      <cdr:y>0.90812</cdr:y>
    </cdr:to>
    <cdr:sp macro="" textlink="">
      <cdr:nvSpPr>
        <cdr:cNvPr id="9" name="TextBox 1"/>
        <cdr:cNvSpPr txBox="1"/>
      </cdr:nvSpPr>
      <cdr:spPr>
        <a:xfrm xmlns:a="http://schemas.openxmlformats.org/drawingml/2006/main">
          <a:off x="5786966" y="3490384"/>
          <a:ext cx="635000" cy="2963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bg1"/>
              </a:solidFill>
            </a:rPr>
            <a:t>0,5</a:t>
          </a:r>
          <a:endParaRPr lang="ru-RU" sz="11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0.86203</cdr:x>
      <cdr:y>0.88528</cdr:y>
    </cdr:from>
    <cdr:to>
      <cdr:x>0.95696</cdr:x>
      <cdr:y>0.95635</cdr:y>
    </cdr:to>
    <cdr:sp macro="" textlink="">
      <cdr:nvSpPr>
        <cdr:cNvPr id="10" name="TextBox 1"/>
        <cdr:cNvSpPr txBox="1"/>
      </cdr:nvSpPr>
      <cdr:spPr>
        <a:xfrm xmlns:a="http://schemas.openxmlformats.org/drawingml/2006/main">
          <a:off x="5765800" y="3691467"/>
          <a:ext cx="635000" cy="2963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bg1"/>
              </a:solidFill>
            </a:rPr>
            <a:t>0</a:t>
          </a:r>
          <a:endParaRPr lang="ru-RU" sz="1100">
            <a:solidFill>
              <a:schemeClr val="bg1"/>
            </a:solidFill>
          </a:endParaRPr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1:AN62"/>
  <sheetViews>
    <sheetView tabSelected="1" topLeftCell="C1" zoomScale="90" zoomScaleNormal="90" workbookViewId="0">
      <selection activeCell="C24" sqref="C24"/>
    </sheetView>
  </sheetViews>
  <sheetFormatPr defaultRowHeight="15" x14ac:dyDescent="0.25"/>
  <cols>
    <col min="1" max="1" width="1.85546875" customWidth="1"/>
    <col min="2" max="2" width="13.7109375" customWidth="1"/>
    <col min="4" max="4" width="3" customWidth="1"/>
    <col min="5" max="5" width="3.140625" customWidth="1"/>
    <col min="6" max="6" width="6.85546875" customWidth="1"/>
    <col min="7" max="21" width="5.7109375" customWidth="1"/>
    <col min="22" max="22" width="4" customWidth="1"/>
    <col min="26" max="27" width="10.5703125" bestFit="1" customWidth="1"/>
    <col min="28" max="40" width="10.42578125" bestFit="1" customWidth="1"/>
  </cols>
  <sheetData>
    <row r="1" spans="2:40" x14ac:dyDescent="0.25">
      <c r="Y1" s="21" t="s">
        <v>17</v>
      </c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</row>
    <row r="2" spans="2:40" x14ac:dyDescent="0.25">
      <c r="B2" s="7" t="s">
        <v>0</v>
      </c>
      <c r="C2" s="7">
        <v>0.2</v>
      </c>
      <c r="F2" s="11"/>
      <c r="G2" s="11">
        <v>1</v>
      </c>
      <c r="H2" s="11">
        <v>2</v>
      </c>
      <c r="I2" s="11">
        <v>3</v>
      </c>
      <c r="J2" s="11">
        <v>4</v>
      </c>
      <c r="K2" s="11">
        <v>5</v>
      </c>
      <c r="L2" s="11">
        <v>6</v>
      </c>
      <c r="M2" s="11">
        <v>7</v>
      </c>
      <c r="N2" s="11">
        <v>8</v>
      </c>
      <c r="O2" s="11">
        <v>9</v>
      </c>
      <c r="P2" s="11">
        <v>10</v>
      </c>
      <c r="Q2" s="11">
        <v>11</v>
      </c>
      <c r="R2" s="11">
        <v>12</v>
      </c>
      <c r="S2" s="11">
        <v>13</v>
      </c>
      <c r="T2" s="11">
        <v>14</v>
      </c>
      <c r="U2" s="11">
        <v>15</v>
      </c>
      <c r="V2" s="11"/>
      <c r="Y2" s="26">
        <v>0</v>
      </c>
      <c r="Z2" s="26">
        <v>1</v>
      </c>
      <c r="AA2" s="26">
        <v>2</v>
      </c>
      <c r="AB2" s="26">
        <v>3</v>
      </c>
      <c r="AC2" s="26">
        <v>4</v>
      </c>
      <c r="AD2" s="26">
        <v>5</v>
      </c>
      <c r="AE2" s="26">
        <v>6</v>
      </c>
      <c r="AF2" s="26">
        <v>7</v>
      </c>
      <c r="AG2" s="26">
        <v>8</v>
      </c>
      <c r="AH2" s="26">
        <v>9</v>
      </c>
      <c r="AI2" s="26">
        <v>10</v>
      </c>
      <c r="AJ2" s="26">
        <v>11</v>
      </c>
      <c r="AK2" s="26">
        <v>12</v>
      </c>
      <c r="AL2" s="26">
        <v>13</v>
      </c>
      <c r="AM2" s="26">
        <v>14</v>
      </c>
      <c r="AN2" s="26">
        <v>15</v>
      </c>
    </row>
    <row r="3" spans="2:40" x14ac:dyDescent="0.25">
      <c r="F3" s="10">
        <v>2</v>
      </c>
      <c r="G3" s="12">
        <v>10</v>
      </c>
      <c r="H3" s="12">
        <v>10</v>
      </c>
      <c r="I3" s="12">
        <v>10</v>
      </c>
      <c r="J3" s="12">
        <v>10</v>
      </c>
      <c r="K3" s="12">
        <v>10</v>
      </c>
      <c r="L3" s="12">
        <v>10</v>
      </c>
      <c r="M3" s="12">
        <v>10</v>
      </c>
      <c r="N3" s="12">
        <v>10</v>
      </c>
      <c r="O3" s="12">
        <v>10</v>
      </c>
      <c r="P3" s="12">
        <v>10</v>
      </c>
      <c r="Q3" s="12">
        <v>10</v>
      </c>
      <c r="R3" s="12">
        <v>10</v>
      </c>
      <c r="S3" s="12">
        <v>10</v>
      </c>
      <c r="T3" s="12">
        <v>10</v>
      </c>
      <c r="U3" s="12">
        <v>10</v>
      </c>
      <c r="V3" s="11">
        <v>11</v>
      </c>
      <c r="Y3" s="25" t="s">
        <v>9</v>
      </c>
      <c r="Z3" s="27">
        <v>0</v>
      </c>
      <c r="AA3" s="27">
        <v>0</v>
      </c>
      <c r="AB3" s="27">
        <v>0</v>
      </c>
      <c r="AC3" s="27">
        <v>0</v>
      </c>
      <c r="AD3" s="27">
        <v>0</v>
      </c>
      <c r="AE3" s="27">
        <v>0</v>
      </c>
      <c r="AF3" s="27">
        <v>0</v>
      </c>
      <c r="AG3" s="27">
        <v>0</v>
      </c>
      <c r="AH3" s="27">
        <v>0</v>
      </c>
      <c r="AI3" s="27">
        <v>0</v>
      </c>
      <c r="AJ3" s="27">
        <v>0</v>
      </c>
      <c r="AK3" s="27">
        <v>0</v>
      </c>
      <c r="AL3" s="27">
        <v>0</v>
      </c>
      <c r="AM3" s="27">
        <v>0</v>
      </c>
      <c r="AN3" s="27">
        <v>0</v>
      </c>
    </row>
    <row r="4" spans="2:40" x14ac:dyDescent="0.25">
      <c r="B4" s="6" t="s">
        <v>1</v>
      </c>
      <c r="C4" s="6">
        <v>10</v>
      </c>
      <c r="F4" s="10">
        <v>1.8</v>
      </c>
      <c r="G4" s="12">
        <f t="shared" ref="G4:G6" si="0">G5+$C$4*$C$2</f>
        <v>8</v>
      </c>
      <c r="H4" s="15">
        <f>(H15+G16+H17+I16)/4</f>
        <v>8.0283422283862684</v>
      </c>
      <c r="I4" s="15">
        <f>(I15+H16+I17+J16)/4</f>
        <v>8.0648630019053122</v>
      </c>
      <c r="J4" s="15">
        <f>(J15+I16+J17+K16)/4</f>
        <v>8.1180645232747359</v>
      </c>
      <c r="K4" s="15">
        <f>(K15+J16+K17+L16)/4</f>
        <v>8.1952045500041741</v>
      </c>
      <c r="L4" s="15">
        <f>(L15+K16+L17+M16)/4</f>
        <v>8.2968694649660328</v>
      </c>
      <c r="M4" s="15">
        <f>(M15+L16+M17+N16)/4</f>
        <v>8.410268092753892</v>
      </c>
      <c r="N4" s="15">
        <f>(N15+M16+N17+O16)/4</f>
        <v>8.5221219735928102</v>
      </c>
      <c r="O4" s="15">
        <f>(O15+N16+O17+P16)/4</f>
        <v>8.6241598782088698</v>
      </c>
      <c r="P4" s="15">
        <f>(P15+O16+P17+Q16)/4</f>
        <v>8.7129752026211253</v>
      </c>
      <c r="Q4" s="15">
        <f>(Q15+P16+Q17+R16)/4</f>
        <v>8.7883992462320712</v>
      </c>
      <c r="R4" s="15">
        <f>(R15+Q16+R17+S16)/4</f>
        <v>8.8520833198216202</v>
      </c>
      <c r="S4" s="15">
        <f>(S15+R16+S17+T16)/4</f>
        <v>8.9065854062609038</v>
      </c>
      <c r="T4" s="15">
        <f>(T15+S16+T17+U16)/4</f>
        <v>8.9548591229637982</v>
      </c>
      <c r="U4" s="12">
        <f t="shared" ref="U4:U11" si="1">U5+$C$6*$C$2</f>
        <v>9</v>
      </c>
      <c r="V4" s="11">
        <v>10</v>
      </c>
      <c r="Y4" s="26" t="s">
        <v>13</v>
      </c>
      <c r="Z4" s="28">
        <v>0</v>
      </c>
      <c r="AA4" s="28">
        <v>0.2</v>
      </c>
      <c r="AB4" s="28">
        <v>0.4</v>
      </c>
      <c r="AC4" s="28">
        <v>0.6</v>
      </c>
      <c r="AD4" s="28">
        <v>0.8</v>
      </c>
      <c r="AE4" s="28">
        <v>1</v>
      </c>
      <c r="AF4" s="28">
        <v>1.2</v>
      </c>
      <c r="AG4" s="28">
        <v>1.4</v>
      </c>
      <c r="AH4" s="28">
        <v>1.6</v>
      </c>
      <c r="AI4" s="28">
        <v>1.8</v>
      </c>
      <c r="AJ4" s="28">
        <v>2</v>
      </c>
      <c r="AK4" s="28">
        <v>2.2000000000000002</v>
      </c>
      <c r="AL4" s="28">
        <v>2.4</v>
      </c>
      <c r="AM4" s="28">
        <v>2.6</v>
      </c>
      <c r="AN4" s="28">
        <v>2.8</v>
      </c>
    </row>
    <row r="5" spans="2:40" x14ac:dyDescent="0.25">
      <c r="B5" s="3" t="s">
        <v>2</v>
      </c>
      <c r="C5" s="3">
        <v>101325</v>
      </c>
      <c r="F5" s="10">
        <v>1.6</v>
      </c>
      <c r="G5" s="12">
        <f t="shared" si="0"/>
        <v>6</v>
      </c>
      <c r="H5" s="15">
        <f>(H16+G17+H18+I17)/4</f>
        <v>6.0485064356769556</v>
      </c>
      <c r="I5" s="15">
        <f>(I16+H17+I18+J17)/4</f>
        <v>6.1130464132949616</v>
      </c>
      <c r="J5" s="15">
        <f>(J16+I17+J18+K17)/4</f>
        <v>6.2121923789613556</v>
      </c>
      <c r="K5" s="15">
        <f>(K16+J17+K18+L17)/4</f>
        <v>6.3658870465347182</v>
      </c>
      <c r="L5" s="15">
        <f>(L16+K17+L18+M17)/4</f>
        <v>6.5820090047750259</v>
      </c>
      <c r="M5" s="15">
        <f>(M16+L17+M18+N17)/4</f>
        <v>6.8220860064738309</v>
      </c>
      <c r="N5" s="15">
        <f>(N16+M17+N18+O17)/4</f>
        <v>7.0540657958639059</v>
      </c>
      <c r="O5" s="15">
        <f>(O16+N17+O18+P17)/4</f>
        <v>7.261549126854602</v>
      </c>
      <c r="P5" s="15">
        <f>(P16+O17+P18+Q17)/4</f>
        <v>7.439348440630785</v>
      </c>
      <c r="Q5" s="15">
        <f>(Q16+P17+Q18+R17)/4</f>
        <v>7.5885450997191226</v>
      </c>
      <c r="R5" s="15">
        <f>(R16+Q17+R18+S17)/4</f>
        <v>7.7133540799866314</v>
      </c>
      <c r="S5" s="15">
        <f>(S16+R17+S18+T17)/4</f>
        <v>7.8194033061137755</v>
      </c>
      <c r="T5" s="15">
        <f>(T16+S17+T18+U17)/4</f>
        <v>7.9128531813248575</v>
      </c>
      <c r="U5" s="12">
        <f t="shared" si="1"/>
        <v>8</v>
      </c>
      <c r="V5" s="11">
        <v>9</v>
      </c>
      <c r="Y5" s="25" t="s">
        <v>14</v>
      </c>
      <c r="Z5" s="27">
        <v>1</v>
      </c>
      <c r="AA5" s="27">
        <v>1</v>
      </c>
      <c r="AB5" s="27">
        <v>1</v>
      </c>
      <c r="AC5" s="27">
        <v>1</v>
      </c>
      <c r="AD5" s="27">
        <v>1</v>
      </c>
      <c r="AE5" s="27">
        <v>0.8</v>
      </c>
      <c r="AF5" s="27">
        <v>0.6</v>
      </c>
      <c r="AG5" s="27">
        <v>0.4</v>
      </c>
      <c r="AH5" s="27">
        <v>0.2</v>
      </c>
      <c r="AI5" s="27">
        <v>0</v>
      </c>
      <c r="AJ5" s="27">
        <v>0</v>
      </c>
      <c r="AK5" s="27">
        <v>0</v>
      </c>
      <c r="AL5" s="27">
        <v>0</v>
      </c>
      <c r="AM5" s="27">
        <v>0</v>
      </c>
      <c r="AN5" s="27">
        <v>0</v>
      </c>
    </row>
    <row r="6" spans="2:40" x14ac:dyDescent="0.25">
      <c r="B6" s="6" t="s">
        <v>3</v>
      </c>
      <c r="C6" s="6">
        <f>((F3-F8)*C4)/(F3-F13)</f>
        <v>5</v>
      </c>
      <c r="F6" s="10">
        <v>1.4</v>
      </c>
      <c r="G6" s="12">
        <f t="shared" si="0"/>
        <v>4</v>
      </c>
      <c r="H6" s="15">
        <f>(H17+G18+H19+I18)/4</f>
        <v>4.0526379984772287</v>
      </c>
      <c r="I6" s="15">
        <f>(I17+H18+I19+J18)/4</f>
        <v>4.1266256921633273</v>
      </c>
      <c r="J6" s="15">
        <f>(J17+I18+J19+K18)/4</f>
        <v>4.2517747466797911</v>
      </c>
      <c r="K6" s="15">
        <f>(K17+J18+K19+L18)/4</f>
        <v>4.4741469568460595</v>
      </c>
      <c r="L6" s="15">
        <f>(L17+K18+L19+M18)/4</f>
        <v>4.8432004440757348</v>
      </c>
      <c r="M6" s="15">
        <f>(M17+L18+M19+N18)/4</f>
        <v>5.2420099621578364</v>
      </c>
      <c r="N6" s="15">
        <f>(N17+M18+N19+O18)/4</f>
        <v>5.6105172386245998</v>
      </c>
      <c r="O6" s="15">
        <f>(O17+N18+O19+P18)/4</f>
        <v>5.9286345093767299</v>
      </c>
      <c r="P6" s="15">
        <f>(P17+O18+P19+Q18)/4</f>
        <v>6.1943373911205537</v>
      </c>
      <c r="Q6" s="15">
        <f>(Q17+P18+Q19+R18)/4</f>
        <v>6.4130906104286431</v>
      </c>
      <c r="R6" s="15">
        <f>(R17+Q18+R19+S18)/4</f>
        <v>6.5933952156023983</v>
      </c>
      <c r="S6" s="15">
        <f>(S17+R18+S19+T18)/4</f>
        <v>6.7448280353564538</v>
      </c>
      <c r="T6" s="15">
        <f>(T17+S18+T19+U18)/4</f>
        <v>6.8771543898923584</v>
      </c>
      <c r="U6" s="12">
        <f t="shared" si="1"/>
        <v>7</v>
      </c>
      <c r="V6" s="11">
        <v>8</v>
      </c>
      <c r="Y6" s="26" t="s">
        <v>10</v>
      </c>
      <c r="Z6" s="28">
        <f>G32</f>
        <v>10</v>
      </c>
      <c r="AA6" s="28">
        <f t="shared" ref="AA6:AD6" si="2">H32</f>
        <v>10.177103784102091</v>
      </c>
      <c r="AB6" s="28">
        <f t="shared" si="2"/>
        <v>10.445228085633969</v>
      </c>
      <c r="AC6" s="28">
        <f t="shared" si="2"/>
        <v>10.970686363111994</v>
      </c>
      <c r="AD6" s="28">
        <f t="shared" si="2"/>
        <v>12.178655224616085</v>
      </c>
      <c r="AE6" s="28">
        <f>L33</f>
        <v>6.6370183806299288</v>
      </c>
      <c r="AF6" s="28">
        <f>M34</f>
        <v>5.0083425879971175</v>
      </c>
      <c r="AG6" s="28">
        <f>N35</f>
        <v>3.9930421107190326</v>
      </c>
      <c r="AH6" s="28">
        <f>O36</f>
        <v>3.1415960948532762</v>
      </c>
      <c r="AI6" s="28">
        <f>P37</f>
        <v>2.1831608886071652</v>
      </c>
      <c r="AJ6" s="28">
        <f t="shared" ref="AJ6:AN6" si="3">Q37</f>
        <v>3.2799266771214564</v>
      </c>
      <c r="AK6" s="28">
        <f t="shared" si="3"/>
        <v>3.930669376953678</v>
      </c>
      <c r="AL6" s="28">
        <f t="shared" si="3"/>
        <v>4.3712517808378415</v>
      </c>
      <c r="AM6" s="28">
        <f t="shared" si="3"/>
        <v>4.7077235159426989</v>
      </c>
      <c r="AN6" s="28">
        <f t="shared" si="3"/>
        <v>5</v>
      </c>
    </row>
    <row r="7" spans="2:40" x14ac:dyDescent="0.25">
      <c r="F7" s="10">
        <v>1.2</v>
      </c>
      <c r="G7" s="12">
        <f>G8+$C$4*$C$2</f>
        <v>2</v>
      </c>
      <c r="H7" s="15">
        <f>(H18+G19+H20+I19)/4</f>
        <v>2.0354207568204181</v>
      </c>
      <c r="I7" s="15">
        <f>(I18+H19+I20+J19)/4</f>
        <v>2.0890456171267942</v>
      </c>
      <c r="J7" s="15">
        <f>(J18+I19+J20+K19)/4</f>
        <v>2.1941372726223989</v>
      </c>
      <c r="K7" s="15">
        <f>(K18+J19+K20+L19)/4</f>
        <v>2.4357310449232172</v>
      </c>
      <c r="L7" s="15">
        <f>(L18+K19+L20+M19)/4</f>
        <v>3.0746438309402797</v>
      </c>
      <c r="M7" s="15">
        <f>(M18+L19+M20+N19)/4</f>
        <v>3.6922476021356636</v>
      </c>
      <c r="N7" s="15">
        <f>(N18+M19+N20+O19)/4</f>
        <v>4.2173725431328082</v>
      </c>
      <c r="O7" s="15">
        <f>(O18+N19+O20+P19)/4</f>
        <v>4.6481507811514469</v>
      </c>
      <c r="P7" s="15">
        <f>(P18+O19+P20+Q19)/4</f>
        <v>4.996292737186085</v>
      </c>
      <c r="Q7" s="15">
        <f>(Q18+P19+Q20+R19)/4</f>
        <v>5.2761013871868654</v>
      </c>
      <c r="R7" s="15">
        <f>(R18+Q19+R20+S19)/4</f>
        <v>5.5023219307962279</v>
      </c>
      <c r="S7" s="15">
        <f>(S18+R19+S20+T19)/4</f>
        <v>5.6893697146696915</v>
      </c>
      <c r="T7" s="15">
        <f>(T18+S19+T20+U19)/4</f>
        <v>5.8509416860878751</v>
      </c>
      <c r="U7" s="12">
        <f t="shared" si="1"/>
        <v>6</v>
      </c>
      <c r="V7" s="11">
        <v>7</v>
      </c>
      <c r="W7" s="22" t="s">
        <v>9</v>
      </c>
      <c r="Y7" s="25" t="s">
        <v>11</v>
      </c>
      <c r="Z7" s="27">
        <f>G44</f>
        <v>0</v>
      </c>
      <c r="AA7" s="27">
        <f t="shared" ref="AA7:AD7" si="4">H44</f>
        <v>0</v>
      </c>
      <c r="AB7" s="27">
        <f t="shared" si="4"/>
        <v>0</v>
      </c>
      <c r="AC7" s="27">
        <f t="shared" si="4"/>
        <v>0</v>
      </c>
      <c r="AD7" s="27">
        <f t="shared" si="4"/>
        <v>-3.3185062869845803</v>
      </c>
      <c r="AE7" s="27">
        <f>L45</f>
        <v>-2.5041679278389037</v>
      </c>
      <c r="AF7" s="27">
        <f>M46</f>
        <v>-1.996517599148681</v>
      </c>
      <c r="AG7" s="27">
        <f>N47</f>
        <v>-1.5707949983010878</v>
      </c>
      <c r="AH7" s="27">
        <f>O48</f>
        <v>-1.0915783244347936</v>
      </c>
      <c r="AI7" s="27">
        <f>P49</f>
        <v>0</v>
      </c>
      <c r="AJ7" s="27">
        <f t="shared" ref="AJ7:AN7" si="5">Q49</f>
        <v>0</v>
      </c>
      <c r="AK7" s="27">
        <f t="shared" si="5"/>
        <v>0</v>
      </c>
      <c r="AL7" s="27">
        <f t="shared" si="5"/>
        <v>0</v>
      </c>
      <c r="AM7" s="27">
        <f t="shared" si="5"/>
        <v>0</v>
      </c>
      <c r="AN7" s="27">
        <f t="shared" si="5"/>
        <v>0</v>
      </c>
    </row>
    <row r="8" spans="2:40" x14ac:dyDescent="0.25">
      <c r="B8" s="5" t="s">
        <v>4</v>
      </c>
      <c r="C8" s="5">
        <v>200</v>
      </c>
      <c r="F8" s="10">
        <v>1</v>
      </c>
      <c r="G8" s="12">
        <v>0</v>
      </c>
      <c r="H8" s="12">
        <v>0</v>
      </c>
      <c r="I8" s="12">
        <v>0</v>
      </c>
      <c r="J8" s="12">
        <v>0</v>
      </c>
      <c r="K8" s="12">
        <v>0</v>
      </c>
      <c r="L8" s="15">
        <f>(L19+K20+L21+M20)/4</f>
        <v>1.3274036761259858</v>
      </c>
      <c r="M8" s="15">
        <f>(M19+L20+M21+N20)/4</f>
        <v>2.2349751054728202</v>
      </c>
      <c r="N8" s="15">
        <f>(N19+M20+N21+O20)/4</f>
        <v>2.9185897761644393</v>
      </c>
      <c r="O8" s="15">
        <f>(O19+N20+O21+P20)/4</f>
        <v>3.4503207562050591</v>
      </c>
      <c r="P8" s="15">
        <f>(P19+O20+P21+Q20)/4</f>
        <v>3.8666007912791995</v>
      </c>
      <c r="Q8" s="15">
        <f>(Q19+P20+Q21+R20)/4</f>
        <v>4.1927184444772063</v>
      </c>
      <c r="R8" s="15">
        <f>(R19+Q20+R21+S20)/4</f>
        <v>4.4504377356357177</v>
      </c>
      <c r="S8" s="15">
        <f>(S19+R20+S21+T20)/4</f>
        <v>4.6593987975845303</v>
      </c>
      <c r="T8" s="15">
        <f>(T19+S20+T21+U20)/4</f>
        <v>4.8372490123794627</v>
      </c>
      <c r="U8" s="12">
        <f t="shared" si="1"/>
        <v>5</v>
      </c>
      <c r="V8" s="11">
        <v>6</v>
      </c>
      <c r="W8" s="23"/>
      <c r="Y8" s="26" t="s">
        <v>12</v>
      </c>
      <c r="Z8" s="28">
        <f>G56</f>
        <v>10</v>
      </c>
      <c r="AA8" s="28">
        <f t="shared" ref="AA8:AD8" si="6">H56</f>
        <v>10.177103784102091</v>
      </c>
      <c r="AB8" s="28">
        <f t="shared" si="6"/>
        <v>10.445228085633969</v>
      </c>
      <c r="AC8" s="28">
        <f t="shared" si="6"/>
        <v>10.970686363111994</v>
      </c>
      <c r="AD8" s="28">
        <f t="shared" si="6"/>
        <v>12.622683037168636</v>
      </c>
      <c r="AE8" s="28">
        <f>L57</f>
        <v>7.0937204621860106</v>
      </c>
      <c r="AF8" s="28">
        <f>M58</f>
        <v>5.3916210922556562</v>
      </c>
      <c r="AG8" s="28">
        <f>N59</f>
        <v>4.2908952707638086</v>
      </c>
      <c r="AH8" s="28">
        <f>O60</f>
        <v>3.3258336190454907</v>
      </c>
      <c r="AI8" s="28">
        <f>P61</f>
        <v>2.1831608886071652</v>
      </c>
      <c r="AJ8" s="28">
        <f t="shared" ref="AJ8:AN8" si="7">Q61</f>
        <v>3.2799266771214564</v>
      </c>
      <c r="AK8" s="28">
        <f t="shared" si="7"/>
        <v>3.930669376953678</v>
      </c>
      <c r="AL8" s="28">
        <f t="shared" si="7"/>
        <v>4.3712517808378415</v>
      </c>
      <c r="AM8" s="28">
        <f t="shared" si="7"/>
        <v>4.7077235159426989</v>
      </c>
      <c r="AN8" s="28">
        <f t="shared" si="7"/>
        <v>5</v>
      </c>
    </row>
    <row r="9" spans="2:40" x14ac:dyDescent="0.25">
      <c r="F9" s="10">
        <v>0.8</v>
      </c>
      <c r="G9" s="8"/>
      <c r="H9" s="8"/>
      <c r="I9" s="8"/>
      <c r="J9" s="8"/>
      <c r="K9" s="8"/>
      <c r="L9" s="12">
        <v>0</v>
      </c>
      <c r="M9" s="15">
        <f>(M20+L21+M22+N21)/4</f>
        <v>1.0016685175994235</v>
      </c>
      <c r="N9" s="15">
        <f>(N20+M21+N22+O21)/4</f>
        <v>1.7717038714585791</v>
      </c>
      <c r="O9" s="15">
        <f>(O20+N21+O22+P21)/4</f>
        <v>2.3679588586885614</v>
      </c>
      <c r="P9" s="15">
        <f>(P20+O21+P22+Q21)/4</f>
        <v>2.8270895998410759</v>
      </c>
      <c r="Q9" s="15">
        <f>(Q20+P21+Q22+R21)/4</f>
        <v>3.177752742229778</v>
      </c>
      <c r="R9" s="15">
        <f>(R20+Q21+R22+S21)/4</f>
        <v>3.4473277167036573</v>
      </c>
      <c r="S9" s="15">
        <f>(S20+R21+S22+T21)/4</f>
        <v>3.6605509901122315</v>
      </c>
      <c r="T9" s="15">
        <f>(T20+S21+T22+U21)/4</f>
        <v>3.8386618533275696</v>
      </c>
      <c r="U9" s="12">
        <f t="shared" si="1"/>
        <v>4</v>
      </c>
      <c r="V9" s="11">
        <v>5</v>
      </c>
      <c r="Y9" s="25" t="s">
        <v>15</v>
      </c>
      <c r="Z9" s="29">
        <f>C5</f>
        <v>101325</v>
      </c>
      <c r="AA9" s="29">
        <f>(Z9+(Z8^2)/2)-(AA8^2)/2</f>
        <v>101323.21327928381</v>
      </c>
      <c r="AB9" s="29">
        <f t="shared" ref="AB9:AN9" si="8">(AA9+(AA8^2)/2)-(AB8^2)/2</f>
        <v>101320.44860511954</v>
      </c>
      <c r="AC9" s="29">
        <f t="shared" si="8"/>
        <v>101314.82202036111</v>
      </c>
      <c r="AD9" s="29">
        <f t="shared" si="8"/>
        <v>101295.33393647159</v>
      </c>
      <c r="AE9" s="29">
        <f t="shared" si="8"/>
        <v>101349.83956500218</v>
      </c>
      <c r="AF9" s="29">
        <f t="shared" si="8"/>
        <v>101360.46521099877</v>
      </c>
      <c r="AG9" s="29">
        <f t="shared" si="8"/>
        <v>101365.79410888767</v>
      </c>
      <c r="AH9" s="29">
        <f t="shared" si="8"/>
        <v>101369.46941536921</v>
      </c>
      <c r="AI9" s="29">
        <f t="shared" si="8"/>
        <v>101372.61690426723</v>
      </c>
      <c r="AJ9" s="29">
        <f t="shared" si="8"/>
        <v>101369.62104049635</v>
      </c>
      <c r="AK9" s="29">
        <f t="shared" si="8"/>
        <v>101367.27491912454</v>
      </c>
      <c r="AL9" s="29">
        <f t="shared" si="8"/>
        <v>101365.44607893426</v>
      </c>
      <c r="AM9" s="29">
        <f t="shared" si="8"/>
        <v>101363.91866964872</v>
      </c>
      <c r="AN9" s="29">
        <f t="shared" si="8"/>
        <v>101362.5</v>
      </c>
    </row>
    <row r="10" spans="2:40" x14ac:dyDescent="0.25">
      <c r="B10" s="1" t="s">
        <v>5</v>
      </c>
      <c r="C10" s="1">
        <v>15</v>
      </c>
      <c r="F10" s="10">
        <v>0.6</v>
      </c>
      <c r="G10" s="8"/>
      <c r="H10" s="8"/>
      <c r="I10" s="8"/>
      <c r="J10" s="8"/>
      <c r="K10" s="8"/>
      <c r="L10" s="8"/>
      <c r="M10" s="12">
        <v>0</v>
      </c>
      <c r="N10" s="15">
        <f>(N21+M22+N23+O22)/4</f>
        <v>0.79860842214380656</v>
      </c>
      <c r="O10" s="15">
        <f>(O21+N22+O23+P22)/4</f>
        <v>1.4227348549114098</v>
      </c>
      <c r="P10" s="15">
        <f>(P21+O22+P23+Q22)/4</f>
        <v>1.8960625846692263</v>
      </c>
      <c r="Q10" s="15">
        <f>(Q21+P22+Q23+R22)/4</f>
        <v>2.2438915074310861</v>
      </c>
      <c r="R10" s="15">
        <f>(R21+Q22+R23+S22)/4</f>
        <v>2.5005844575804295</v>
      </c>
      <c r="S10" s="15">
        <f>(S21+R22+S23+T22)/4</f>
        <v>2.6968264517999554</v>
      </c>
      <c r="T10" s="15">
        <f>(T21+S22+T23+U22)/4</f>
        <v>2.8568534294934609</v>
      </c>
      <c r="U10" s="12">
        <f t="shared" si="1"/>
        <v>3</v>
      </c>
      <c r="V10" s="11">
        <v>4</v>
      </c>
      <c r="Y10" s="26" t="s">
        <v>16</v>
      </c>
      <c r="Z10" s="28">
        <f>(Z9-$C$5)/(($C$4^2)/2)</f>
        <v>0</v>
      </c>
      <c r="AA10" s="28">
        <f t="shared" ref="AA10:AN10" si="9">(AA9-$C$5)/(($C$4^2)/2)</f>
        <v>-3.5734414323815147E-2</v>
      </c>
      <c r="AB10" s="28">
        <f t="shared" si="9"/>
        <v>-9.1027897609164937E-2</v>
      </c>
      <c r="AC10" s="28">
        <f t="shared" si="9"/>
        <v>-0.20355959277774674</v>
      </c>
      <c r="AD10" s="28">
        <f t="shared" si="9"/>
        <v>-0.59332127056812167</v>
      </c>
      <c r="AE10" s="28">
        <f t="shared" si="9"/>
        <v>0.49679130004369654</v>
      </c>
      <c r="AF10" s="28">
        <f t="shared" si="9"/>
        <v>0.70930421997531079</v>
      </c>
      <c r="AG10" s="28">
        <f t="shared" si="9"/>
        <v>0.81588217775337402</v>
      </c>
      <c r="AH10" s="28">
        <f t="shared" si="9"/>
        <v>0.88938830738421526</v>
      </c>
      <c r="AI10" s="28">
        <f t="shared" si="9"/>
        <v>0.95233808534452691</v>
      </c>
      <c r="AJ10" s="28">
        <f t="shared" si="9"/>
        <v>0.89242080992698902</v>
      </c>
      <c r="AK10" s="28">
        <f t="shared" si="9"/>
        <v>0.84549838249076859</v>
      </c>
      <c r="AL10" s="28">
        <f t="shared" si="9"/>
        <v>0.80892157868511272</v>
      </c>
      <c r="AM10" s="28">
        <f t="shared" si="9"/>
        <v>0.77837339297431751</v>
      </c>
      <c r="AN10" s="28">
        <f t="shared" si="9"/>
        <v>0.75</v>
      </c>
    </row>
    <row r="11" spans="2:40" x14ac:dyDescent="0.25">
      <c r="B11" s="4" t="s">
        <v>6</v>
      </c>
      <c r="C11" s="4">
        <v>11</v>
      </c>
      <c r="F11" s="10">
        <v>0.4</v>
      </c>
      <c r="G11" s="8"/>
      <c r="H11" s="8"/>
      <c r="I11" s="8"/>
      <c r="J11" s="8"/>
      <c r="K11" s="8"/>
      <c r="L11" s="8"/>
      <c r="M11" s="8"/>
      <c r="N11" s="12">
        <v>0</v>
      </c>
      <c r="O11" s="15">
        <f>(O22+N23+O24+P23)/4</f>
        <v>0.62831921897065524</v>
      </c>
      <c r="P11" s="15">
        <f>(P22+O23+P24+Q23)/4</f>
        <v>1.0905464653973054</v>
      </c>
      <c r="Q11" s="15">
        <f>(Q22+P23+Q24+R23)/4</f>
        <v>1.4011796423503329</v>
      </c>
      <c r="R11" s="15">
        <f>(R22+Q23+R24+S23)/4</f>
        <v>1.6143039231916183</v>
      </c>
      <c r="S11" s="15">
        <f>(S22+R23+S24+T23)/4</f>
        <v>1.7693261690215065</v>
      </c>
      <c r="T11" s="15">
        <f>(T22+S23+T24+U23)/4</f>
        <v>1.8919301985566894</v>
      </c>
      <c r="U11" s="12">
        <f t="shared" si="1"/>
        <v>2</v>
      </c>
      <c r="V11" s="11">
        <v>3</v>
      </c>
      <c r="X11" s="20"/>
    </row>
    <row r="12" spans="2:40" x14ac:dyDescent="0.25">
      <c r="B12" s="1" t="s">
        <v>7</v>
      </c>
      <c r="C12" s="1">
        <v>15</v>
      </c>
      <c r="F12" s="10">
        <v>0.2</v>
      </c>
      <c r="G12" s="8"/>
      <c r="H12" s="8"/>
      <c r="I12" s="8"/>
      <c r="J12" s="8"/>
      <c r="K12" s="8"/>
      <c r="L12" s="8"/>
      <c r="M12" s="8"/>
      <c r="N12" s="8"/>
      <c r="O12" s="12">
        <v>0</v>
      </c>
      <c r="P12" s="15">
        <f>(P23+O24+P25+Q24)/4</f>
        <v>0.43663217772143309</v>
      </c>
      <c r="Q12" s="15">
        <f>(Q23+P24+Q25+R24)/4</f>
        <v>0.65598533542429127</v>
      </c>
      <c r="R12" s="15">
        <f>(R23+Q24+R25+S24)/4</f>
        <v>0.78613387539073565</v>
      </c>
      <c r="S12" s="15">
        <f>(S23+R24+S25+T24)/4</f>
        <v>0.8742503561675683</v>
      </c>
      <c r="T12" s="15">
        <f>(T23+S24+T25+U24)/4</f>
        <v>0.94154470318853989</v>
      </c>
      <c r="U12" s="12">
        <f>U13+$C$6*$C$2</f>
        <v>1</v>
      </c>
      <c r="V12" s="11">
        <v>2</v>
      </c>
    </row>
    <row r="13" spans="2:40" x14ac:dyDescent="0.25">
      <c r="B13" s="4" t="s">
        <v>8</v>
      </c>
      <c r="C13" s="4">
        <v>6</v>
      </c>
      <c r="F13" s="10">
        <v>0</v>
      </c>
      <c r="G13" s="8"/>
      <c r="H13" s="8"/>
      <c r="I13" s="8"/>
      <c r="J13" s="8"/>
      <c r="K13" s="8"/>
      <c r="L13" s="8"/>
      <c r="M13" s="8"/>
      <c r="N13" s="8"/>
      <c r="O13" s="8"/>
      <c r="P13" s="12">
        <v>0</v>
      </c>
      <c r="Q13" s="12">
        <v>0</v>
      </c>
      <c r="R13" s="12">
        <v>0</v>
      </c>
      <c r="S13" s="12">
        <v>0</v>
      </c>
      <c r="T13" s="12">
        <v>0</v>
      </c>
      <c r="U13" s="12">
        <v>0</v>
      </c>
      <c r="V13" s="11">
        <v>1</v>
      </c>
      <c r="Y13" s="21" t="s">
        <v>18</v>
      </c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</row>
    <row r="14" spans="2:40" x14ac:dyDescent="0.25">
      <c r="B14" s="2" t="s">
        <v>9</v>
      </c>
      <c r="C14" s="1">
        <v>0</v>
      </c>
      <c r="F14" s="11"/>
      <c r="G14" s="10">
        <v>0</v>
      </c>
      <c r="H14" s="10">
        <v>0.2</v>
      </c>
      <c r="I14" s="10">
        <v>0.4</v>
      </c>
      <c r="J14" s="10">
        <v>0.6</v>
      </c>
      <c r="K14" s="10">
        <v>0.8</v>
      </c>
      <c r="L14" s="10">
        <v>1</v>
      </c>
      <c r="M14" s="10">
        <v>1.2</v>
      </c>
      <c r="N14" s="10">
        <v>1.4</v>
      </c>
      <c r="O14" s="10">
        <v>1.6</v>
      </c>
      <c r="P14" s="10">
        <v>1.8</v>
      </c>
      <c r="Q14" s="10">
        <v>2</v>
      </c>
      <c r="R14" s="10">
        <v>2.2000000000000002</v>
      </c>
      <c r="S14" s="10">
        <v>2.4</v>
      </c>
      <c r="T14" s="10">
        <v>2.6</v>
      </c>
      <c r="U14" s="10">
        <v>2.8</v>
      </c>
      <c r="V14" s="11"/>
      <c r="Y14" s="26">
        <v>0</v>
      </c>
      <c r="Z14" s="26">
        <v>1</v>
      </c>
      <c r="AA14" s="26">
        <v>2</v>
      </c>
      <c r="AB14" s="26">
        <v>3</v>
      </c>
      <c r="AC14" s="26">
        <v>4</v>
      </c>
      <c r="AD14" s="26">
        <v>5</v>
      </c>
      <c r="AE14" s="26">
        <v>6</v>
      </c>
      <c r="AF14" s="26">
        <v>7</v>
      </c>
      <c r="AG14" s="26">
        <v>8</v>
      </c>
      <c r="AH14" s="26">
        <v>9</v>
      </c>
      <c r="AI14" s="26">
        <v>10</v>
      </c>
      <c r="AJ14" s="26">
        <v>11</v>
      </c>
      <c r="AK14" s="26">
        <v>12</v>
      </c>
      <c r="AL14" s="26">
        <v>13</v>
      </c>
      <c r="AM14" s="26">
        <v>14</v>
      </c>
      <c r="AN14" s="26">
        <v>15</v>
      </c>
    </row>
    <row r="15" spans="2:40" x14ac:dyDescent="0.25">
      <c r="F15" s="10">
        <v>2</v>
      </c>
      <c r="G15" s="14">
        <v>10</v>
      </c>
      <c r="H15" s="14">
        <v>10</v>
      </c>
      <c r="I15" s="14">
        <v>10</v>
      </c>
      <c r="J15" s="14">
        <v>10</v>
      </c>
      <c r="K15" s="14">
        <v>10</v>
      </c>
      <c r="L15" s="14">
        <v>10</v>
      </c>
      <c r="M15" s="14">
        <v>10</v>
      </c>
      <c r="N15" s="14">
        <v>10</v>
      </c>
      <c r="O15" s="14">
        <v>10</v>
      </c>
      <c r="P15" s="14">
        <v>10</v>
      </c>
      <c r="Q15" s="14">
        <v>10</v>
      </c>
      <c r="R15" s="14">
        <v>10</v>
      </c>
      <c r="S15" s="14">
        <v>10</v>
      </c>
      <c r="T15" s="14">
        <v>10</v>
      </c>
      <c r="U15" s="14">
        <v>10</v>
      </c>
      <c r="V15" s="11">
        <v>11</v>
      </c>
      <c r="Y15" s="25" t="s">
        <v>9</v>
      </c>
      <c r="Z15" s="27">
        <f>G3</f>
        <v>10</v>
      </c>
      <c r="AA15" s="27">
        <f t="shared" ref="AA15:AN15" si="10">H3</f>
        <v>10</v>
      </c>
      <c r="AB15" s="27">
        <f t="shared" si="10"/>
        <v>10</v>
      </c>
      <c r="AC15" s="27">
        <f t="shared" si="10"/>
        <v>10</v>
      </c>
      <c r="AD15" s="27">
        <f t="shared" si="10"/>
        <v>10</v>
      </c>
      <c r="AE15" s="27">
        <f t="shared" si="10"/>
        <v>10</v>
      </c>
      <c r="AF15" s="27">
        <f t="shared" si="10"/>
        <v>10</v>
      </c>
      <c r="AG15" s="27">
        <f t="shared" si="10"/>
        <v>10</v>
      </c>
      <c r="AH15" s="27">
        <f t="shared" si="10"/>
        <v>10</v>
      </c>
      <c r="AI15" s="27">
        <f t="shared" si="10"/>
        <v>10</v>
      </c>
      <c r="AJ15" s="27">
        <f t="shared" si="10"/>
        <v>10</v>
      </c>
      <c r="AK15" s="27">
        <f t="shared" si="10"/>
        <v>10</v>
      </c>
      <c r="AL15" s="27">
        <f t="shared" si="10"/>
        <v>10</v>
      </c>
      <c r="AM15" s="27">
        <f t="shared" si="10"/>
        <v>10</v>
      </c>
      <c r="AN15" s="27">
        <f t="shared" si="10"/>
        <v>10</v>
      </c>
    </row>
    <row r="16" spans="2:40" x14ac:dyDescent="0.25">
      <c r="F16" s="10">
        <v>1.8</v>
      </c>
      <c r="G16" s="14">
        <v>8</v>
      </c>
      <c r="H16" s="14">
        <v>8.0283420845782754</v>
      </c>
      <c r="I16" s="14">
        <v>8.0648627067472916</v>
      </c>
      <c r="J16" s="14">
        <v>8.1180640189476669</v>
      </c>
      <c r="K16" s="14">
        <v>8.1952038270489584</v>
      </c>
      <c r="L16" s="14">
        <v>8.2968684255429128</v>
      </c>
      <c r="M16" s="14">
        <v>8.4102667987163038</v>
      </c>
      <c r="N16" s="14">
        <v>8.5221203620575423</v>
      </c>
      <c r="O16" s="14">
        <v>8.6241581464820385</v>
      </c>
      <c r="P16" s="14">
        <v>8.712973349009749</v>
      </c>
      <c r="Q16" s="14">
        <v>8.7883975535257743</v>
      </c>
      <c r="R16" s="14">
        <v>8.8520818233427203</v>
      </c>
      <c r="S16" s="14">
        <v>8.9065843545464816</v>
      </c>
      <c r="T16" s="14">
        <v>8.9548585478482767</v>
      </c>
      <c r="U16" s="14">
        <v>9</v>
      </c>
      <c r="V16" s="11">
        <v>10</v>
      </c>
      <c r="Y16" s="26" t="s">
        <v>13</v>
      </c>
      <c r="Z16" s="28">
        <v>0</v>
      </c>
      <c r="AA16" s="28">
        <v>0.2</v>
      </c>
      <c r="AB16" s="28">
        <v>0.4</v>
      </c>
      <c r="AC16" s="28">
        <v>0.6</v>
      </c>
      <c r="AD16" s="28">
        <v>0.8</v>
      </c>
      <c r="AE16" s="28">
        <v>1</v>
      </c>
      <c r="AF16" s="28">
        <v>1.2</v>
      </c>
      <c r="AG16" s="28">
        <v>1.4</v>
      </c>
      <c r="AH16" s="28">
        <v>1.6</v>
      </c>
      <c r="AI16" s="28">
        <v>1.8</v>
      </c>
      <c r="AJ16" s="28">
        <v>2</v>
      </c>
      <c r="AK16" s="28">
        <v>2.2000000000000002</v>
      </c>
      <c r="AL16" s="28">
        <v>2.4</v>
      </c>
      <c r="AM16" s="28">
        <v>2.6</v>
      </c>
      <c r="AN16" s="28">
        <v>2.8</v>
      </c>
    </row>
    <row r="17" spans="3:40" x14ac:dyDescent="0.25">
      <c r="F17" s="10">
        <v>1.6</v>
      </c>
      <c r="G17" s="14">
        <v>6</v>
      </c>
      <c r="H17" s="14">
        <v>6.0485062067977857</v>
      </c>
      <c r="I17" s="14">
        <v>6.1130459040953067</v>
      </c>
      <c r="J17" s="14">
        <v>6.2121915593026955</v>
      </c>
      <c r="K17" s="14">
        <v>6.3658857555261195</v>
      </c>
      <c r="L17" s="14">
        <v>6.5820072340988718</v>
      </c>
      <c r="M17" s="14">
        <v>6.8220835834151163</v>
      </c>
      <c r="N17" s="14">
        <v>7.0540629491729021</v>
      </c>
      <c r="O17" s="14">
        <v>7.2615458017681878</v>
      </c>
      <c r="P17" s="14">
        <v>7.439345110476685</v>
      </c>
      <c r="Q17" s="14">
        <v>7.5885418125758148</v>
      </c>
      <c r="R17" s="14">
        <v>7.7133513712142276</v>
      </c>
      <c r="S17" s="14">
        <v>7.8194012538526199</v>
      </c>
      <c r="T17" s="14">
        <v>7.9128521373087111</v>
      </c>
      <c r="U17" s="14">
        <v>8</v>
      </c>
      <c r="V17" s="11">
        <v>9</v>
      </c>
      <c r="Y17" s="25" t="s">
        <v>14</v>
      </c>
      <c r="Z17" s="27">
        <v>2</v>
      </c>
      <c r="AA17" s="27">
        <v>2</v>
      </c>
      <c r="AB17" s="27">
        <v>2</v>
      </c>
      <c r="AC17" s="27">
        <v>2</v>
      </c>
      <c r="AD17" s="27">
        <v>2</v>
      </c>
      <c r="AE17" s="27">
        <v>2</v>
      </c>
      <c r="AF17" s="27">
        <v>2</v>
      </c>
      <c r="AG17" s="27">
        <v>2</v>
      </c>
      <c r="AH17" s="27">
        <v>2</v>
      </c>
      <c r="AI17" s="27">
        <v>2</v>
      </c>
      <c r="AJ17" s="27">
        <v>2</v>
      </c>
      <c r="AK17" s="27">
        <v>2</v>
      </c>
      <c r="AL17" s="27">
        <v>2</v>
      </c>
      <c r="AM17" s="27">
        <v>2</v>
      </c>
      <c r="AN17" s="27">
        <v>2</v>
      </c>
    </row>
    <row r="18" spans="3:40" x14ac:dyDescent="0.25">
      <c r="F18" s="10">
        <v>1.4</v>
      </c>
      <c r="G18" s="14">
        <v>4</v>
      </c>
      <c r="H18" s="14">
        <v>4.0526377540342402</v>
      </c>
      <c r="I18" s="14">
        <v>4.1266251803320717</v>
      </c>
      <c r="J18" s="14">
        <v>4.251773837276331</v>
      </c>
      <c r="K18" s="14">
        <v>4.4741455656883478</v>
      </c>
      <c r="L18" s="14">
        <v>4.843198254615956</v>
      </c>
      <c r="M18" s="14">
        <v>5.2420070439072477</v>
      </c>
      <c r="N18" s="14">
        <v>5.6105134362147755</v>
      </c>
      <c r="O18" s="14">
        <v>5.9286303012867849</v>
      </c>
      <c r="P18" s="14">
        <v>6.1943327991693877</v>
      </c>
      <c r="Q18" s="14">
        <v>6.4130863636598043</v>
      </c>
      <c r="R18" s="14">
        <v>6.5933914301753713</v>
      </c>
      <c r="S18" s="14">
        <v>6.7448253613856828</v>
      </c>
      <c r="T18" s="14">
        <v>6.8771529235985351</v>
      </c>
      <c r="U18" s="14">
        <v>7</v>
      </c>
      <c r="V18" s="11">
        <v>8</v>
      </c>
      <c r="Y18" s="26" t="s">
        <v>10</v>
      </c>
      <c r="Z18" s="28">
        <f>G27</f>
        <v>10</v>
      </c>
      <c r="AA18" s="28">
        <f t="shared" ref="AA18:AN18" si="11">H27</f>
        <v>9.8582888580686578</v>
      </c>
      <c r="AB18" s="28">
        <f t="shared" si="11"/>
        <v>9.6756849904734388</v>
      </c>
      <c r="AC18" s="28">
        <f t="shared" si="11"/>
        <v>9.4096773836263203</v>
      </c>
      <c r="AD18" s="28">
        <f t="shared" si="11"/>
        <v>9.0239772499791293</v>
      </c>
      <c r="AE18" s="28">
        <f t="shared" si="11"/>
        <v>8.5156526751698358</v>
      </c>
      <c r="AF18" s="28">
        <f t="shared" si="11"/>
        <v>7.9486595362305401</v>
      </c>
      <c r="AG18" s="28">
        <f t="shared" si="11"/>
        <v>7.389390132035949</v>
      </c>
      <c r="AH18" s="28">
        <f t="shared" si="11"/>
        <v>6.8792006089556512</v>
      </c>
      <c r="AI18" s="28">
        <f t="shared" si="11"/>
        <v>6.4351239868943733</v>
      </c>
      <c r="AJ18" s="28">
        <f t="shared" si="11"/>
        <v>6.0580037688396438</v>
      </c>
      <c r="AK18" s="28">
        <f t="shared" si="11"/>
        <v>5.7395834008918989</v>
      </c>
      <c r="AL18" s="28">
        <f t="shared" si="11"/>
        <v>5.4670729686954811</v>
      </c>
      <c r="AM18" s="28">
        <f t="shared" si="11"/>
        <v>5.2257043851810092</v>
      </c>
      <c r="AN18" s="28">
        <f t="shared" si="11"/>
        <v>5</v>
      </c>
    </row>
    <row r="19" spans="3:40" x14ac:dyDescent="0.25">
      <c r="F19" s="10">
        <v>1.2</v>
      </c>
      <c r="G19" s="14">
        <v>2</v>
      </c>
      <c r="H19" s="14">
        <v>2.0354206067790548</v>
      </c>
      <c r="I19" s="14">
        <v>2.0890452732474314</v>
      </c>
      <c r="J19" s="14">
        <v>2.1941366813960501</v>
      </c>
      <c r="K19" s="14">
        <v>2.4357299799658323</v>
      </c>
      <c r="L19" s="14">
        <v>3.0746419326084715</v>
      </c>
      <c r="M19" s="14">
        <v>3.6922445743854975</v>
      </c>
      <c r="N19" s="14">
        <v>4.2173686601314646</v>
      </c>
      <c r="O19" s="14">
        <v>4.6481460003545676</v>
      </c>
      <c r="P19" s="14">
        <v>4.9962877890589406</v>
      </c>
      <c r="Q19" s="14">
        <v>5.276096399793996</v>
      </c>
      <c r="R19" s="14">
        <v>5.5023177661498792</v>
      </c>
      <c r="S19" s="14">
        <v>5.6893665337992863</v>
      </c>
      <c r="T19" s="14">
        <v>5.8509400608750397</v>
      </c>
      <c r="U19" s="14">
        <v>6</v>
      </c>
      <c r="V19" s="11">
        <v>7</v>
      </c>
      <c r="Y19" s="25" t="s">
        <v>11</v>
      </c>
      <c r="Z19" s="27">
        <f>G39</f>
        <v>0</v>
      </c>
      <c r="AA19" s="27">
        <f t="shared" ref="AA19:AN19" si="12">H39</f>
        <v>0</v>
      </c>
      <c r="AB19" s="27">
        <f t="shared" si="12"/>
        <v>0</v>
      </c>
      <c r="AC19" s="27">
        <f t="shared" si="12"/>
        <v>0</v>
      </c>
      <c r="AD19" s="27">
        <f t="shared" si="12"/>
        <v>0</v>
      </c>
      <c r="AE19" s="27">
        <f t="shared" si="12"/>
        <v>0</v>
      </c>
      <c r="AF19" s="27">
        <f t="shared" si="12"/>
        <v>0</v>
      </c>
      <c r="AG19" s="27">
        <f t="shared" si="12"/>
        <v>0</v>
      </c>
      <c r="AH19" s="27">
        <f t="shared" si="12"/>
        <v>0</v>
      </c>
      <c r="AI19" s="27">
        <f t="shared" si="12"/>
        <v>0</v>
      </c>
      <c r="AJ19" s="27">
        <f t="shared" si="12"/>
        <v>0</v>
      </c>
      <c r="AK19" s="27">
        <f t="shared" si="12"/>
        <v>0</v>
      </c>
      <c r="AL19" s="27">
        <f t="shared" si="12"/>
        <v>0</v>
      </c>
      <c r="AM19" s="27">
        <f t="shared" si="12"/>
        <v>0</v>
      </c>
      <c r="AN19" s="27">
        <f t="shared" si="12"/>
        <v>0</v>
      </c>
    </row>
    <row r="20" spans="3:40" x14ac:dyDescent="0.25">
      <c r="C20" s="19"/>
      <c r="D20" s="19"/>
      <c r="E20" s="19"/>
      <c r="F20" s="10">
        <v>1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1.3274025147938322</v>
      </c>
      <c r="M20" s="14">
        <v>2.2349727718954711</v>
      </c>
      <c r="N20" s="14">
        <v>2.9185861615763899</v>
      </c>
      <c r="O20" s="14">
        <v>3.4503163741285965</v>
      </c>
      <c r="P20" s="14">
        <v>3.8665957494263865</v>
      </c>
      <c r="Q20" s="14">
        <v>4.1927136298788374</v>
      </c>
      <c r="R20" s="14">
        <v>4.450433359416258</v>
      </c>
      <c r="S20" s="14">
        <v>4.6593956702681636</v>
      </c>
      <c r="T20" s="14">
        <v>4.8372472869536818</v>
      </c>
      <c r="U20" s="14">
        <v>5</v>
      </c>
      <c r="V20" s="11">
        <v>6</v>
      </c>
      <c r="Y20" s="26" t="s">
        <v>12</v>
      </c>
      <c r="Z20" s="28">
        <f>G51</f>
        <v>10</v>
      </c>
      <c r="AA20" s="28">
        <f t="shared" ref="AA20:AN20" si="13">H51</f>
        <v>9.8582888580686578</v>
      </c>
      <c r="AB20" s="28">
        <f t="shared" si="13"/>
        <v>9.6756849904734388</v>
      </c>
      <c r="AC20" s="28">
        <f t="shared" si="13"/>
        <v>9.4096773836263203</v>
      </c>
      <c r="AD20" s="28">
        <f t="shared" si="13"/>
        <v>9.0239772499791293</v>
      </c>
      <c r="AE20" s="28">
        <f t="shared" si="13"/>
        <v>8.5156526751698358</v>
      </c>
      <c r="AF20" s="28">
        <f t="shared" si="13"/>
        <v>7.9486595362305401</v>
      </c>
      <c r="AG20" s="28">
        <f t="shared" si="13"/>
        <v>7.389390132035949</v>
      </c>
      <c r="AH20" s="28">
        <f t="shared" si="13"/>
        <v>6.8792006089556512</v>
      </c>
      <c r="AI20" s="28">
        <f t="shared" si="13"/>
        <v>6.4351239868943733</v>
      </c>
      <c r="AJ20" s="28">
        <f t="shared" si="13"/>
        <v>6.0580037688396438</v>
      </c>
      <c r="AK20" s="28">
        <f t="shared" si="13"/>
        <v>5.7395834008918989</v>
      </c>
      <c r="AL20" s="28">
        <f t="shared" si="13"/>
        <v>5.4670729686954811</v>
      </c>
      <c r="AM20" s="28">
        <f t="shared" si="13"/>
        <v>5.2257043851810092</v>
      </c>
      <c r="AN20" s="28">
        <f t="shared" si="13"/>
        <v>5</v>
      </c>
    </row>
    <row r="21" spans="3:40" x14ac:dyDescent="0.25">
      <c r="C21" s="19"/>
      <c r="D21" s="19"/>
      <c r="E21" s="19"/>
      <c r="F21" s="10">
        <v>0.8</v>
      </c>
      <c r="G21" s="13"/>
      <c r="H21" s="13"/>
      <c r="I21" s="13"/>
      <c r="J21" s="13"/>
      <c r="K21" s="13"/>
      <c r="L21" s="14">
        <v>0</v>
      </c>
      <c r="M21" s="14">
        <v>1.0016671711355616</v>
      </c>
      <c r="N21" s="14">
        <v>1.7717012985022231</v>
      </c>
      <c r="O21" s="14">
        <v>2.3679551134628927</v>
      </c>
      <c r="P21" s="14">
        <v>2.8270853720504232</v>
      </c>
      <c r="Q21" s="14">
        <v>3.1777482692721861</v>
      </c>
      <c r="R21" s="14">
        <v>3.4473238762459903</v>
      </c>
      <c r="S21" s="14">
        <v>3.6605480101688954</v>
      </c>
      <c r="T21" s="14">
        <v>3.8386603183746448</v>
      </c>
      <c r="U21" s="14">
        <v>4</v>
      </c>
      <c r="V21" s="11">
        <v>5</v>
      </c>
      <c r="Y21" s="25" t="s">
        <v>15</v>
      </c>
      <c r="Z21" s="29">
        <f>C5</f>
        <v>101325</v>
      </c>
      <c r="AA21" s="29">
        <f>(Z21+(Z20^2)/2)-(AA20^2)/2</f>
        <v>101326.40707039543</v>
      </c>
      <c r="AB21" s="29">
        <f t="shared" ref="AB21" si="14">(AA21+(AA20^2)/2)-(AB20^2)/2</f>
        <v>101328.19055998257</v>
      </c>
      <c r="AC21" s="29">
        <f t="shared" ref="AC21" si="15">(AB21+(AB20^2)/2)-(AC20^2)/2</f>
        <v>101330.72898576803</v>
      </c>
      <c r="AD21" s="29">
        <f t="shared" ref="AD21" si="16">(AC21+(AC20^2)/2)-(AD20^2)/2</f>
        <v>101334.28391729594</v>
      </c>
      <c r="AE21" s="29">
        <f t="shared" ref="AE21" si="17">(AD21+(AD20^2)/2)-(AE20^2)/2</f>
        <v>101338.74182975794</v>
      </c>
      <c r="AF21" s="29">
        <f t="shared" ref="AF21" si="18">(AE21+(AE20^2)/2)-(AF20^2)/2</f>
        <v>101343.40940578855</v>
      </c>
      <c r="AG21" s="29">
        <f t="shared" ref="AG21" si="19">(AF21+(AF20^2)/2)-(AG20^2)/2</f>
        <v>101347.69845673829</v>
      </c>
      <c r="AH21" s="29">
        <f t="shared" ref="AH21" si="20">(AG21+(AG20^2)/2)-(AH20^2)/2</f>
        <v>101351.33829949088</v>
      </c>
      <c r="AI21" s="29">
        <f t="shared" ref="AI21" si="21">(AH21+(AH20^2)/2)-(AI20^2)/2</f>
        <v>101354.29458963664</v>
      </c>
      <c r="AJ21" s="29">
        <f t="shared" ref="AJ21" si="22">(AI21+(AI20^2)/2)-(AJ20^2)/2</f>
        <v>101356.65029516837</v>
      </c>
      <c r="AK21" s="29">
        <f t="shared" ref="AK21" si="23">(AJ21+(AJ20^2)/2)-(AK20^2)/2</f>
        <v>101358.52859119211</v>
      </c>
      <c r="AL21" s="29">
        <f t="shared" ref="AL21" si="24">(AK21+(AK20^2)/2)-(AL20^2)/2</f>
        <v>101360.05555657748</v>
      </c>
      <c r="AM21" s="29">
        <f t="shared" ref="AM21" si="25">(AL21+(AL20^2)/2)-(AM20^2)/2</f>
        <v>101361.34600683935</v>
      </c>
      <c r="AN21" s="29">
        <f t="shared" ref="AN21" si="26">(AM21+(AM20^2)/2)-(AN20^2)/2</f>
        <v>101362.5</v>
      </c>
    </row>
    <row r="22" spans="3:40" x14ac:dyDescent="0.25">
      <c r="F22" s="10">
        <v>0.6</v>
      </c>
      <c r="G22" s="13"/>
      <c r="H22" s="13"/>
      <c r="I22" s="13"/>
      <c r="J22" s="13"/>
      <c r="K22" s="13"/>
      <c r="L22" s="13"/>
      <c r="M22" s="14">
        <v>0</v>
      </c>
      <c r="N22" s="14">
        <v>0.79860703965947244</v>
      </c>
      <c r="O22" s="14">
        <v>1.4227323900730033</v>
      </c>
      <c r="P22" s="14">
        <v>1.8960592672028385</v>
      </c>
      <c r="Q22" s="14">
        <v>2.2438880907438605</v>
      </c>
      <c r="R22" s="14">
        <v>2.5005812279572894</v>
      </c>
      <c r="S22" s="14">
        <v>2.696824095560129</v>
      </c>
      <c r="T22" s="14">
        <v>2.8568521161877021</v>
      </c>
      <c r="U22" s="14">
        <v>3</v>
      </c>
      <c r="V22" s="11">
        <v>4</v>
      </c>
      <c r="Y22" s="26" t="s">
        <v>16</v>
      </c>
      <c r="Z22" s="28">
        <f>(Z21-$C$5)/(($C$4^2)/2)</f>
        <v>0</v>
      </c>
      <c r="AA22" s="28">
        <f t="shared" ref="AA22" si="27">(AA21-$C$5)/(($C$4^2)/2)</f>
        <v>2.8141407908697146E-2</v>
      </c>
      <c r="AB22" s="28">
        <f t="shared" ref="AB22" si="28">(AB21-$C$5)/(($C$4^2)/2)</f>
        <v>6.3811199651390774E-2</v>
      </c>
      <c r="AC22" s="28">
        <f t="shared" ref="AC22" si="29">(AC21-$C$5)/(($C$4^2)/2)</f>
        <v>0.11457971536059632</v>
      </c>
      <c r="AD22" s="28">
        <f t="shared" ref="AD22" si="30">(AD21-$C$5)/(($C$4^2)/2)</f>
        <v>0.1856783459187136</v>
      </c>
      <c r="AE22" s="28">
        <f t="shared" ref="AE22" si="31">(AE21-$C$5)/(($C$4^2)/2)</f>
        <v>0.27483659515884939</v>
      </c>
      <c r="AF22" s="28">
        <f t="shared" ref="AF22" si="32">(AF21-$C$5)/(($C$4^2)/2)</f>
        <v>0.36818811577104499</v>
      </c>
      <c r="AG22" s="28">
        <f t="shared" ref="AG22" si="33">(AG21-$C$5)/(($C$4^2)/2)</f>
        <v>0.45396913476579359</v>
      </c>
      <c r="AH22" s="28">
        <f t="shared" ref="AH22" si="34">(AH21-$C$5)/(($C$4^2)/2)</f>
        <v>0.52676598981750433</v>
      </c>
      <c r="AI22" s="28">
        <f t="shared" ref="AI22" si="35">(AI21-$C$5)/(($C$4^2)/2)</f>
        <v>0.58589179273287295</v>
      </c>
      <c r="AJ22" s="28">
        <f t="shared" ref="AJ22" si="36">(AJ21-$C$5)/(($C$4^2)/2)</f>
        <v>0.63300590336730234</v>
      </c>
      <c r="AK22" s="28">
        <f t="shared" ref="AK22" si="37">(AK21-$C$5)/(($C$4^2)/2)</f>
        <v>0.67057182384218317</v>
      </c>
      <c r="AL22" s="28">
        <f t="shared" ref="AL22" si="38">(AL21-$C$5)/(($C$4^2)/2)</f>
        <v>0.7011111315496964</v>
      </c>
      <c r="AM22" s="28">
        <f t="shared" ref="AM22" si="39">(AM21-$C$5)/(($C$4^2)/2)</f>
        <v>0.72692013678693912</v>
      </c>
      <c r="AN22" s="28">
        <f t="shared" ref="AN22" si="40">(AN21-$C$5)/(($C$4^2)/2)</f>
        <v>0.75</v>
      </c>
    </row>
    <row r="23" spans="3:40" x14ac:dyDescent="0.25">
      <c r="F23" s="10">
        <v>0.4</v>
      </c>
      <c r="G23" s="13"/>
      <c r="H23" s="13"/>
      <c r="I23" s="13"/>
      <c r="J23" s="13"/>
      <c r="K23" s="13"/>
      <c r="L23" s="13"/>
      <c r="M23" s="13"/>
      <c r="N23" s="14">
        <v>0</v>
      </c>
      <c r="O23" s="14">
        <v>0.62831799932043519</v>
      </c>
      <c r="P23" s="14">
        <v>1.0905444858096176</v>
      </c>
      <c r="Q23" s="14">
        <v>1.4011772652920302</v>
      </c>
      <c r="R23" s="14">
        <v>1.6143017677717379</v>
      </c>
      <c r="S23" s="14">
        <v>1.7693244528859358</v>
      </c>
      <c r="T23" s="14">
        <v>1.8919293040390697</v>
      </c>
      <c r="U23" s="14">
        <v>2</v>
      </c>
      <c r="V23" s="11">
        <v>3</v>
      </c>
    </row>
    <row r="24" spans="3:40" x14ac:dyDescent="0.25">
      <c r="F24" s="10">
        <v>0.2</v>
      </c>
      <c r="G24" s="13"/>
      <c r="H24" s="13"/>
      <c r="I24" s="13"/>
      <c r="J24" s="13"/>
      <c r="K24" s="13"/>
      <c r="L24" s="13"/>
      <c r="M24" s="13"/>
      <c r="N24" s="13"/>
      <c r="O24" s="14">
        <v>0</v>
      </c>
      <c r="P24" s="14">
        <v>0.4366313297739175</v>
      </c>
      <c r="Q24" s="14">
        <v>0.65598422507611476</v>
      </c>
      <c r="R24" s="14">
        <v>0.78613274663121757</v>
      </c>
      <c r="S24" s="14">
        <v>0.87424950871508977</v>
      </c>
      <c r="T24" s="14">
        <v>0.94154422515311942</v>
      </c>
      <c r="U24" s="14">
        <v>1</v>
      </c>
      <c r="V24" s="11">
        <v>2</v>
      </c>
    </row>
    <row r="25" spans="3:40" x14ac:dyDescent="0.25">
      <c r="F25" s="10">
        <v>0</v>
      </c>
      <c r="G25" s="13"/>
      <c r="H25" s="13"/>
      <c r="I25" s="13"/>
      <c r="J25" s="13"/>
      <c r="K25" s="13"/>
      <c r="L25" s="13"/>
      <c r="M25" s="13"/>
      <c r="N25" s="13"/>
      <c r="O25" s="13"/>
      <c r="P25" s="14">
        <v>0</v>
      </c>
      <c r="Q25" s="14">
        <v>0</v>
      </c>
      <c r="R25" s="14">
        <v>0</v>
      </c>
      <c r="S25" s="14">
        <v>0</v>
      </c>
      <c r="T25" s="14">
        <v>0</v>
      </c>
      <c r="U25" s="14">
        <v>0</v>
      </c>
      <c r="V25" s="11">
        <v>1</v>
      </c>
    </row>
    <row r="26" spans="3:40" x14ac:dyDescent="0.25">
      <c r="F26" s="11"/>
      <c r="G26" s="11">
        <v>1</v>
      </c>
      <c r="H26" s="11">
        <v>2</v>
      </c>
      <c r="I26" s="11">
        <v>3</v>
      </c>
      <c r="J26" s="11">
        <v>4</v>
      </c>
      <c r="K26" s="11">
        <v>5</v>
      </c>
      <c r="L26" s="11">
        <v>6</v>
      </c>
      <c r="M26" s="11">
        <v>7</v>
      </c>
      <c r="N26" s="11">
        <v>8</v>
      </c>
      <c r="O26" s="11">
        <v>9</v>
      </c>
      <c r="P26" s="11">
        <v>10</v>
      </c>
      <c r="Q26" s="11">
        <v>11</v>
      </c>
      <c r="R26" s="11">
        <v>12</v>
      </c>
      <c r="S26" s="11">
        <v>13</v>
      </c>
      <c r="T26" s="11">
        <v>14</v>
      </c>
      <c r="U26" s="11">
        <v>15</v>
      </c>
      <c r="V26" s="11"/>
    </row>
    <row r="27" spans="3:40" x14ac:dyDescent="0.25">
      <c r="F27" s="10">
        <v>2</v>
      </c>
      <c r="G27" s="14">
        <f>(G3-G4)/$C$2</f>
        <v>10</v>
      </c>
      <c r="H27" s="14">
        <f t="shared" ref="H27:U27" si="41">(H3-H4)/$C$2</f>
        <v>9.8582888580686578</v>
      </c>
      <c r="I27" s="14">
        <f t="shared" si="41"/>
        <v>9.6756849904734388</v>
      </c>
      <c r="J27" s="14">
        <f t="shared" si="41"/>
        <v>9.4096773836263203</v>
      </c>
      <c r="K27" s="14">
        <f t="shared" si="41"/>
        <v>9.0239772499791293</v>
      </c>
      <c r="L27" s="14">
        <f t="shared" si="41"/>
        <v>8.5156526751698358</v>
      </c>
      <c r="M27" s="14">
        <f t="shared" si="41"/>
        <v>7.9486595362305401</v>
      </c>
      <c r="N27" s="14">
        <f t="shared" si="41"/>
        <v>7.389390132035949</v>
      </c>
      <c r="O27" s="14">
        <f t="shared" si="41"/>
        <v>6.8792006089556512</v>
      </c>
      <c r="P27" s="14">
        <f t="shared" si="41"/>
        <v>6.4351239868943733</v>
      </c>
      <c r="Q27" s="14">
        <f t="shared" si="41"/>
        <v>6.0580037688396438</v>
      </c>
      <c r="R27" s="14">
        <f t="shared" si="41"/>
        <v>5.7395834008918989</v>
      </c>
      <c r="S27" s="14">
        <f t="shared" si="41"/>
        <v>5.4670729686954811</v>
      </c>
      <c r="T27" s="14">
        <f t="shared" si="41"/>
        <v>5.2257043851810092</v>
      </c>
      <c r="U27" s="14">
        <f t="shared" si="41"/>
        <v>5</v>
      </c>
      <c r="V27" s="11">
        <v>11</v>
      </c>
    </row>
    <row r="28" spans="3:40" ht="15" customHeight="1" x14ac:dyDescent="0.4">
      <c r="C28" s="17"/>
      <c r="D28" s="16"/>
      <c r="E28" s="16"/>
      <c r="F28" s="10">
        <v>1.8</v>
      </c>
      <c r="G28" s="9">
        <f>(G3-G5)/(2*$C$2)</f>
        <v>10</v>
      </c>
      <c r="H28" s="9">
        <f>(H3-H5)/(2*$C$2)</f>
        <v>9.8787339108076111</v>
      </c>
      <c r="I28" s="9">
        <f t="shared" ref="I28:U28" si="42">(I3-I5)/(2*$C$2)</f>
        <v>9.7173839667625952</v>
      </c>
      <c r="J28" s="9">
        <f t="shared" si="42"/>
        <v>9.4695190525966098</v>
      </c>
      <c r="K28" s="9">
        <f t="shared" si="42"/>
        <v>9.0852823836632037</v>
      </c>
      <c r="L28" s="9">
        <f t="shared" si="42"/>
        <v>8.5449774880624343</v>
      </c>
      <c r="M28" s="9">
        <f t="shared" si="42"/>
        <v>7.9447849838154223</v>
      </c>
      <c r="N28" s="9">
        <f t="shared" si="42"/>
        <v>7.3648355103402352</v>
      </c>
      <c r="O28" s="9">
        <f t="shared" si="42"/>
        <v>6.8461271828634951</v>
      </c>
      <c r="P28" s="9">
        <f t="shared" si="42"/>
        <v>6.401628898423037</v>
      </c>
      <c r="Q28" s="9">
        <f t="shared" si="42"/>
        <v>6.028637250702193</v>
      </c>
      <c r="R28" s="9">
        <f t="shared" si="42"/>
        <v>5.7166148000334216</v>
      </c>
      <c r="S28" s="9">
        <f t="shared" si="42"/>
        <v>5.4514917347155611</v>
      </c>
      <c r="T28" s="9">
        <f t="shared" si="42"/>
        <v>5.2178670466878563</v>
      </c>
      <c r="U28" s="9">
        <f t="shared" si="42"/>
        <v>5</v>
      </c>
      <c r="V28" s="11">
        <v>10</v>
      </c>
      <c r="W28" s="24" t="s">
        <v>10</v>
      </c>
      <c r="X28" s="16"/>
      <c r="Y28" s="16"/>
    </row>
    <row r="29" spans="3:40" x14ac:dyDescent="0.25">
      <c r="C29" s="16"/>
      <c r="D29" s="16"/>
      <c r="E29" s="16"/>
      <c r="F29" s="10">
        <v>1.6</v>
      </c>
      <c r="G29" s="9">
        <f t="shared" ref="G29:U29" si="43">(G4-G6)/(2*$C$2)</f>
        <v>10</v>
      </c>
      <c r="H29" s="9">
        <f t="shared" si="43"/>
        <v>9.9392605747725984</v>
      </c>
      <c r="I29" s="9">
        <f t="shared" si="43"/>
        <v>9.845593274354961</v>
      </c>
      <c r="J29" s="9">
        <f t="shared" si="43"/>
        <v>9.6657244414873613</v>
      </c>
      <c r="K29" s="9">
        <f t="shared" si="43"/>
        <v>9.3026439828952867</v>
      </c>
      <c r="L29" s="9">
        <f t="shared" si="43"/>
        <v>8.6341725522257438</v>
      </c>
      <c r="M29" s="9">
        <f t="shared" si="43"/>
        <v>7.9206453264901384</v>
      </c>
      <c r="N29" s="9">
        <f t="shared" si="43"/>
        <v>7.2790118374205255</v>
      </c>
      <c r="O29" s="9">
        <f t="shared" si="43"/>
        <v>6.7388134220803497</v>
      </c>
      <c r="P29" s="9">
        <f t="shared" si="43"/>
        <v>6.2965945287514291</v>
      </c>
      <c r="Q29" s="9">
        <f t="shared" si="43"/>
        <v>5.9382715895085703</v>
      </c>
      <c r="R29" s="9">
        <f t="shared" si="43"/>
        <v>5.6467202605480544</v>
      </c>
      <c r="S29" s="9">
        <f t="shared" si="43"/>
        <v>5.4043934272611249</v>
      </c>
      <c r="T29" s="9">
        <f t="shared" si="43"/>
        <v>5.194261832678599</v>
      </c>
      <c r="U29" s="9">
        <f t="shared" si="43"/>
        <v>5</v>
      </c>
      <c r="V29" s="11">
        <v>9</v>
      </c>
      <c r="W29" s="24"/>
      <c r="X29" s="16"/>
      <c r="Y29" s="16"/>
    </row>
    <row r="30" spans="3:40" x14ac:dyDescent="0.25">
      <c r="F30" s="10">
        <v>1.4</v>
      </c>
      <c r="G30" s="9">
        <f t="shared" ref="G30:U30" si="44">(G5-G7)/(2*$C$2)</f>
        <v>10</v>
      </c>
      <c r="H30" s="9">
        <f t="shared" si="44"/>
        <v>10.032714197141344</v>
      </c>
      <c r="I30" s="9">
        <f t="shared" si="44"/>
        <v>10.060001990420417</v>
      </c>
      <c r="J30" s="9">
        <f t="shared" si="44"/>
        <v>10.045137765847391</v>
      </c>
      <c r="K30" s="9">
        <f t="shared" si="44"/>
        <v>9.8253900040287512</v>
      </c>
      <c r="L30" s="9">
        <f t="shared" si="44"/>
        <v>8.7684129345868644</v>
      </c>
      <c r="M30" s="9">
        <f t="shared" si="44"/>
        <v>7.8245960108454176</v>
      </c>
      <c r="N30" s="9">
        <f t="shared" si="44"/>
        <v>7.0917331318277439</v>
      </c>
      <c r="O30" s="9">
        <f t="shared" si="44"/>
        <v>6.5334958642578878</v>
      </c>
      <c r="P30" s="9">
        <f t="shared" si="44"/>
        <v>6.1076392586117496</v>
      </c>
      <c r="Q30" s="9">
        <f t="shared" si="44"/>
        <v>5.7811092813306431</v>
      </c>
      <c r="R30" s="9">
        <f t="shared" si="44"/>
        <v>5.5275803729760087</v>
      </c>
      <c r="S30" s="9">
        <f t="shared" si="44"/>
        <v>5.32508397861021</v>
      </c>
      <c r="T30" s="9">
        <f t="shared" si="44"/>
        <v>5.1547787380924559</v>
      </c>
      <c r="U30" s="9">
        <f t="shared" si="44"/>
        <v>5</v>
      </c>
      <c r="V30" s="11">
        <v>8</v>
      </c>
    </row>
    <row r="31" spans="3:40" x14ac:dyDescent="0.25">
      <c r="F31" s="10">
        <v>1.2</v>
      </c>
      <c r="G31" s="9">
        <f t="shared" ref="G31:U32" si="45">(G6-G8)/(2*$C$2)</f>
        <v>10</v>
      </c>
      <c r="H31" s="9">
        <f t="shared" si="45"/>
        <v>10.131594996193071</v>
      </c>
      <c r="I31" s="9">
        <f t="shared" si="45"/>
        <v>10.316564230408318</v>
      </c>
      <c r="J31" s="9">
        <f t="shared" si="45"/>
        <v>10.629436866699477</v>
      </c>
      <c r="K31" s="9">
        <f t="shared" si="45"/>
        <v>11.185367392115149</v>
      </c>
      <c r="L31" s="9">
        <f t="shared" si="45"/>
        <v>8.7894919198743722</v>
      </c>
      <c r="M31" s="9">
        <f t="shared" si="45"/>
        <v>7.5175871417125402</v>
      </c>
      <c r="N31" s="9">
        <f t="shared" si="45"/>
        <v>6.7298186561504014</v>
      </c>
      <c r="O31" s="9">
        <f t="shared" si="45"/>
        <v>6.195784382929177</v>
      </c>
      <c r="P31" s="9">
        <f t="shared" si="45"/>
        <v>5.819341499603385</v>
      </c>
      <c r="Q31" s="9">
        <f t="shared" si="45"/>
        <v>5.5509304148785921</v>
      </c>
      <c r="R31" s="9">
        <f t="shared" si="45"/>
        <v>5.3573936999167016</v>
      </c>
      <c r="S31" s="9">
        <f t="shared" si="45"/>
        <v>5.2135730944298082</v>
      </c>
      <c r="T31" s="9">
        <f t="shared" si="45"/>
        <v>5.0997634437822388</v>
      </c>
      <c r="U31" s="9">
        <f t="shared" si="45"/>
        <v>5</v>
      </c>
      <c r="V31" s="11">
        <v>7</v>
      </c>
    </row>
    <row r="32" spans="3:40" x14ac:dyDescent="0.25">
      <c r="F32" s="10">
        <v>1</v>
      </c>
      <c r="G32" s="14">
        <f>(G7-G8)/$C$2</f>
        <v>10</v>
      </c>
      <c r="H32" s="14">
        <f t="shared" ref="H32:M34" si="46">(H7-H8)/$C$2</f>
        <v>10.177103784102091</v>
      </c>
      <c r="I32" s="14">
        <f t="shared" si="46"/>
        <v>10.445228085633969</v>
      </c>
      <c r="J32" s="14">
        <f t="shared" si="46"/>
        <v>10.970686363111994</v>
      </c>
      <c r="K32" s="14">
        <f t="shared" si="46"/>
        <v>12.178655224616085</v>
      </c>
      <c r="L32" s="9">
        <f t="shared" si="45"/>
        <v>7.6866095773506986</v>
      </c>
      <c r="M32" s="9">
        <f t="shared" si="45"/>
        <v>6.7264477113405992</v>
      </c>
      <c r="N32" s="9">
        <f t="shared" si="45"/>
        <v>6.1141716791855725</v>
      </c>
      <c r="O32" s="9">
        <f t="shared" si="45"/>
        <v>5.7004798061572135</v>
      </c>
      <c r="P32" s="9">
        <f t="shared" si="45"/>
        <v>5.4230078433625222</v>
      </c>
      <c r="Q32" s="9">
        <f t="shared" si="45"/>
        <v>5.245871612392718</v>
      </c>
      <c r="R32" s="9">
        <f t="shared" si="45"/>
        <v>5.1374855352314261</v>
      </c>
      <c r="S32" s="9">
        <f t="shared" si="45"/>
        <v>5.0720468113936494</v>
      </c>
      <c r="T32" s="9">
        <f t="shared" si="45"/>
        <v>5.0306995819007634</v>
      </c>
      <c r="U32" s="9">
        <f t="shared" si="45"/>
        <v>5</v>
      </c>
      <c r="V32" s="11">
        <v>6</v>
      </c>
    </row>
    <row r="33" spans="3:25" x14ac:dyDescent="0.25">
      <c r="F33" s="10">
        <v>0.8</v>
      </c>
      <c r="G33" s="13"/>
      <c r="H33" s="13"/>
      <c r="I33" s="13"/>
      <c r="J33" s="13"/>
      <c r="K33" s="13"/>
      <c r="L33" s="14">
        <f t="shared" si="46"/>
        <v>6.6370183806299288</v>
      </c>
      <c r="M33" s="9">
        <f t="shared" ref="M33:U33" si="47">(M8-M10)/(2*$C$2)</f>
        <v>5.5874377636820505</v>
      </c>
      <c r="N33" s="9">
        <f t="shared" si="47"/>
        <v>5.2999533850515812</v>
      </c>
      <c r="O33" s="9">
        <f t="shared" si="47"/>
        <v>5.0689647532341224</v>
      </c>
      <c r="P33" s="9">
        <f t="shared" si="47"/>
        <v>4.9263455165249326</v>
      </c>
      <c r="Q33" s="9">
        <f t="shared" si="47"/>
        <v>4.8720673426153001</v>
      </c>
      <c r="R33" s="9">
        <f t="shared" si="47"/>
        <v>4.8746331951382205</v>
      </c>
      <c r="S33" s="9">
        <f t="shared" si="47"/>
        <v>4.9064308644614369</v>
      </c>
      <c r="T33" s="9">
        <f t="shared" si="47"/>
        <v>4.9509889572150039</v>
      </c>
      <c r="U33" s="9">
        <f t="shared" si="47"/>
        <v>5</v>
      </c>
      <c r="V33" s="11">
        <v>5</v>
      </c>
    </row>
    <row r="34" spans="3:25" x14ac:dyDescent="0.25">
      <c r="F34" s="10">
        <v>0.6</v>
      </c>
      <c r="G34" s="13"/>
      <c r="H34" s="13"/>
      <c r="I34" s="13"/>
      <c r="J34" s="13"/>
      <c r="K34" s="13"/>
      <c r="L34" s="13"/>
      <c r="M34" s="14">
        <f t="shared" si="46"/>
        <v>5.0083425879971175</v>
      </c>
      <c r="N34" s="9">
        <f t="shared" ref="N34:O34" si="48">(N9-N11)/(2*$C$2)</f>
        <v>4.4292596786464475</v>
      </c>
      <c r="O34" s="9">
        <f t="shared" si="48"/>
        <v>4.3490990992947651</v>
      </c>
      <c r="P34" s="9">
        <f t="shared" ref="P34:U34" si="49">(P9-P11)/(2*$C$2)</f>
        <v>4.3413578361094256</v>
      </c>
      <c r="Q34" s="9">
        <f t="shared" si="49"/>
        <v>4.4414327496986123</v>
      </c>
      <c r="R34" s="9">
        <f t="shared" si="49"/>
        <v>4.5825594837800976</v>
      </c>
      <c r="S34" s="9">
        <f t="shared" si="49"/>
        <v>4.7280620527268118</v>
      </c>
      <c r="T34" s="9">
        <f t="shared" si="49"/>
        <v>4.8668291369272003</v>
      </c>
      <c r="U34" s="9">
        <f t="shared" si="49"/>
        <v>5</v>
      </c>
      <c r="V34" s="11">
        <v>4</v>
      </c>
    </row>
    <row r="35" spans="3:25" x14ac:dyDescent="0.25">
      <c r="F35" s="10">
        <v>0.4</v>
      </c>
      <c r="G35" s="13"/>
      <c r="H35" s="13"/>
      <c r="I35" s="13"/>
      <c r="J35" s="13"/>
      <c r="K35" s="13"/>
      <c r="L35" s="13"/>
      <c r="M35" s="13"/>
      <c r="N35" s="14">
        <f t="shared" ref="N35" si="50">(N10-N11)/$C$2</f>
        <v>3.9930421107190326</v>
      </c>
      <c r="O35" s="9">
        <f t="shared" ref="O35" si="51">(O10-O12)/(2*$C$2)</f>
        <v>3.5568371372785244</v>
      </c>
      <c r="P35" s="9">
        <f t="shared" ref="P35:U35" si="52">(P10-P12)/(2*$C$2)</f>
        <v>3.648576017369483</v>
      </c>
      <c r="Q35" s="9">
        <f t="shared" si="52"/>
        <v>3.9697654300169871</v>
      </c>
      <c r="R35" s="9">
        <f t="shared" si="52"/>
        <v>4.2861264554742347</v>
      </c>
      <c r="S35" s="9">
        <f t="shared" si="52"/>
        <v>4.5564402390809677</v>
      </c>
      <c r="T35" s="9">
        <f t="shared" si="52"/>
        <v>4.7882718157623021</v>
      </c>
      <c r="U35" s="9">
        <f t="shared" si="52"/>
        <v>5</v>
      </c>
      <c r="V35" s="11">
        <v>3</v>
      </c>
    </row>
    <row r="36" spans="3:25" x14ac:dyDescent="0.25">
      <c r="F36" s="10">
        <v>0.2</v>
      </c>
      <c r="G36" s="13"/>
      <c r="H36" s="13"/>
      <c r="I36" s="13"/>
      <c r="J36" s="13"/>
      <c r="K36" s="13"/>
      <c r="L36" s="13"/>
      <c r="M36" s="13"/>
      <c r="N36" s="13"/>
      <c r="O36" s="14">
        <f t="shared" ref="O36" si="53">(O11-O12)/$C$2</f>
        <v>3.1415960948532762</v>
      </c>
      <c r="P36" s="9">
        <f t="shared" ref="P36:U36" si="54">(P11-P13)/(2*$C$2)</f>
        <v>2.7263661634932634</v>
      </c>
      <c r="Q36" s="9">
        <f t="shared" si="54"/>
        <v>3.5029491058758322</v>
      </c>
      <c r="R36" s="9">
        <f t="shared" si="54"/>
        <v>4.0357598079790451</v>
      </c>
      <c r="S36" s="9">
        <f t="shared" si="54"/>
        <v>4.4233154225537659</v>
      </c>
      <c r="T36" s="9">
        <f t="shared" si="54"/>
        <v>4.7298254963917232</v>
      </c>
      <c r="U36" s="9">
        <f t="shared" si="54"/>
        <v>5</v>
      </c>
      <c r="V36" s="11">
        <v>2</v>
      </c>
    </row>
    <row r="37" spans="3:25" x14ac:dyDescent="0.25">
      <c r="F37" s="10">
        <v>0</v>
      </c>
      <c r="G37" s="13"/>
      <c r="H37" s="13"/>
      <c r="I37" s="13"/>
      <c r="J37" s="13"/>
      <c r="K37" s="13"/>
      <c r="L37" s="13"/>
      <c r="M37" s="13"/>
      <c r="N37" s="13"/>
      <c r="O37" s="13"/>
      <c r="P37" s="14">
        <f t="shared" ref="P37:T37" si="55">(P12-P13)/$C$2</f>
        <v>2.1831608886071652</v>
      </c>
      <c r="Q37" s="14">
        <f t="shared" si="55"/>
        <v>3.2799266771214564</v>
      </c>
      <c r="R37" s="14">
        <f t="shared" si="55"/>
        <v>3.930669376953678</v>
      </c>
      <c r="S37" s="14">
        <f t="shared" si="55"/>
        <v>4.3712517808378415</v>
      </c>
      <c r="T37" s="14">
        <f t="shared" si="55"/>
        <v>4.7077235159426989</v>
      </c>
      <c r="U37" s="14">
        <f t="shared" ref="U37" si="56">(U12-U13)/$C$2</f>
        <v>5</v>
      </c>
      <c r="V37" s="11">
        <v>1</v>
      </c>
    </row>
    <row r="38" spans="3:25" x14ac:dyDescent="0.25">
      <c r="F38" s="11"/>
      <c r="G38" s="10">
        <v>0</v>
      </c>
      <c r="H38" s="10">
        <v>0.2</v>
      </c>
      <c r="I38" s="10">
        <v>0.4</v>
      </c>
      <c r="J38" s="10">
        <v>0.6</v>
      </c>
      <c r="K38" s="10">
        <v>0.8</v>
      </c>
      <c r="L38" s="10">
        <v>1</v>
      </c>
      <c r="M38" s="10">
        <v>1.2</v>
      </c>
      <c r="N38" s="10">
        <v>1.4</v>
      </c>
      <c r="O38" s="10">
        <v>1.6</v>
      </c>
      <c r="P38" s="10">
        <v>1.8</v>
      </c>
      <c r="Q38" s="10">
        <v>2</v>
      </c>
      <c r="R38" s="10">
        <v>2.2000000000000002</v>
      </c>
      <c r="S38" s="10">
        <v>2.4</v>
      </c>
      <c r="T38" s="10">
        <v>2.6</v>
      </c>
      <c r="U38" s="10">
        <v>2.8</v>
      </c>
      <c r="V38" s="11"/>
    </row>
    <row r="39" spans="3:25" x14ac:dyDescent="0.25">
      <c r="F39" s="10">
        <v>2</v>
      </c>
      <c r="G39" s="14">
        <f>-(H15-G15)/$C$2</f>
        <v>0</v>
      </c>
      <c r="H39" s="9">
        <f>-(I15-G15)/(2*$C$2)</f>
        <v>0</v>
      </c>
      <c r="I39" s="9">
        <f t="shared" ref="I39:T39" si="57">-(J15-H15)/(2*$C$2)</f>
        <v>0</v>
      </c>
      <c r="J39" s="9">
        <f t="shared" si="57"/>
        <v>0</v>
      </c>
      <c r="K39" s="9">
        <f t="shared" si="57"/>
        <v>0</v>
      </c>
      <c r="L39" s="9">
        <f t="shared" si="57"/>
        <v>0</v>
      </c>
      <c r="M39" s="9">
        <f t="shared" si="57"/>
        <v>0</v>
      </c>
      <c r="N39" s="9">
        <f t="shared" si="57"/>
        <v>0</v>
      </c>
      <c r="O39" s="9">
        <f t="shared" si="57"/>
        <v>0</v>
      </c>
      <c r="P39" s="9">
        <f t="shared" si="57"/>
        <v>0</v>
      </c>
      <c r="Q39" s="9">
        <f t="shared" si="57"/>
        <v>0</v>
      </c>
      <c r="R39" s="9">
        <f t="shared" si="57"/>
        <v>0</v>
      </c>
      <c r="S39" s="9">
        <f t="shared" si="57"/>
        <v>0</v>
      </c>
      <c r="T39" s="9">
        <f t="shared" si="57"/>
        <v>0</v>
      </c>
      <c r="U39" s="14">
        <f>-(U15-T15)/$C$2</f>
        <v>0</v>
      </c>
      <c r="V39" s="11">
        <v>11</v>
      </c>
    </row>
    <row r="40" spans="3:25" ht="15" customHeight="1" x14ac:dyDescent="0.25">
      <c r="F40" s="10">
        <v>1.8</v>
      </c>
      <c r="G40" s="14">
        <f t="shared" ref="G40:G44" si="58">-(H16-G16)/$C$2</f>
        <v>-0.14171042289137681</v>
      </c>
      <c r="H40" s="9">
        <f t="shared" ref="H40:T45" si="59">-(I16-G16)/(2*$C$2)</f>
        <v>-0.16215676686822889</v>
      </c>
      <c r="I40" s="9">
        <f t="shared" si="59"/>
        <v>-0.22430483592347894</v>
      </c>
      <c r="J40" s="9">
        <f t="shared" si="59"/>
        <v>-0.32585280075416723</v>
      </c>
      <c r="K40" s="9">
        <f t="shared" si="59"/>
        <v>-0.4470110164881147</v>
      </c>
      <c r="L40" s="9">
        <f t="shared" si="59"/>
        <v>-0.53765742916836334</v>
      </c>
      <c r="M40" s="9">
        <f t="shared" si="59"/>
        <v>-0.56312984128657373</v>
      </c>
      <c r="N40" s="9">
        <f t="shared" si="59"/>
        <v>-0.53472836941433677</v>
      </c>
      <c r="O40" s="9">
        <f t="shared" si="59"/>
        <v>-0.47713246738051662</v>
      </c>
      <c r="P40" s="9">
        <f t="shared" si="59"/>
        <v>-0.41059851760933963</v>
      </c>
      <c r="Q40" s="9">
        <f t="shared" si="59"/>
        <v>-0.34777118583242839</v>
      </c>
      <c r="R40" s="9">
        <f t="shared" si="59"/>
        <v>-0.29546700255176805</v>
      </c>
      <c r="S40" s="9">
        <f t="shared" si="59"/>
        <v>-0.25694181126389104</v>
      </c>
      <c r="T40" s="9">
        <f t="shared" si="59"/>
        <v>-0.23353911363379609</v>
      </c>
      <c r="U40" s="14">
        <f t="shared" ref="U40:U49" si="60">-(U16-T16)/$C$2</f>
        <v>-0.22570726075861636</v>
      </c>
      <c r="V40" s="11">
        <v>10</v>
      </c>
      <c r="W40" s="24" t="s">
        <v>11</v>
      </c>
      <c r="X40" s="19"/>
      <c r="Y40" s="19"/>
    </row>
    <row r="41" spans="3:25" ht="15" customHeight="1" x14ac:dyDescent="0.4">
      <c r="C41" s="18"/>
      <c r="D41" s="19"/>
      <c r="E41" s="19"/>
      <c r="F41" s="10">
        <v>1.6</v>
      </c>
      <c r="G41" s="14">
        <f t="shared" si="58"/>
        <v>-0.24253103398892861</v>
      </c>
      <c r="H41" s="9">
        <f t="shared" si="59"/>
        <v>-0.2826147602382667</v>
      </c>
      <c r="I41" s="9">
        <f t="shared" si="59"/>
        <v>-0.40921338126227447</v>
      </c>
      <c r="J41" s="9">
        <f t="shared" si="59"/>
        <v>-0.63209962857703195</v>
      </c>
      <c r="K41" s="9">
        <f t="shared" si="59"/>
        <v>-0.92453918699044069</v>
      </c>
      <c r="L41" s="9">
        <f t="shared" si="59"/>
        <v>-1.1404945697224922</v>
      </c>
      <c r="M41" s="9">
        <f t="shared" si="59"/>
        <v>-1.1801392876850758</v>
      </c>
      <c r="N41" s="9">
        <f t="shared" si="59"/>
        <v>-1.0986555458826786</v>
      </c>
      <c r="O41" s="9">
        <f t="shared" si="59"/>
        <v>-0.96320540325945725</v>
      </c>
      <c r="P41" s="9">
        <f t="shared" si="59"/>
        <v>-0.8174900270190677</v>
      </c>
      <c r="Q41" s="9">
        <f t="shared" si="59"/>
        <v>-0.6850156518438566</v>
      </c>
      <c r="R41" s="9">
        <f t="shared" si="59"/>
        <v>-0.57714860319201255</v>
      </c>
      <c r="S41" s="9">
        <f t="shared" si="59"/>
        <v>-0.49875191523620854</v>
      </c>
      <c r="T41" s="9">
        <f t="shared" si="59"/>
        <v>-0.45149686536845035</v>
      </c>
      <c r="U41" s="14">
        <f t="shared" si="60"/>
        <v>-0.43573931345644468</v>
      </c>
      <c r="V41" s="11">
        <v>9</v>
      </c>
      <c r="W41" s="24"/>
      <c r="X41" s="19"/>
      <c r="Y41" s="19"/>
    </row>
    <row r="42" spans="3:25" x14ac:dyDescent="0.25">
      <c r="C42" s="19"/>
      <c r="D42" s="19"/>
      <c r="E42" s="19"/>
      <c r="F42" s="10">
        <v>1.4</v>
      </c>
      <c r="G42" s="14">
        <f t="shared" si="58"/>
        <v>-0.26318877017120101</v>
      </c>
      <c r="H42" s="9">
        <f t="shared" si="59"/>
        <v>-0.31656295083017927</v>
      </c>
      <c r="I42" s="9">
        <f t="shared" si="59"/>
        <v>-0.49784020810522689</v>
      </c>
      <c r="J42" s="9">
        <f t="shared" si="59"/>
        <v>-0.86880096339069013</v>
      </c>
      <c r="K42" s="9">
        <f t="shared" si="59"/>
        <v>-1.4785610433490626</v>
      </c>
      <c r="L42" s="9">
        <f t="shared" si="59"/>
        <v>-1.9196536955472498</v>
      </c>
      <c r="M42" s="9">
        <f t="shared" si="59"/>
        <v>-1.9182879539970488</v>
      </c>
      <c r="N42" s="9">
        <f t="shared" si="59"/>
        <v>-1.7165581434488431</v>
      </c>
      <c r="O42" s="9">
        <f t="shared" si="59"/>
        <v>-1.4595484073865306</v>
      </c>
      <c r="P42" s="9">
        <f t="shared" si="59"/>
        <v>-1.2111401559325485</v>
      </c>
      <c r="Q42" s="9">
        <f t="shared" si="59"/>
        <v>-0.997646577514959</v>
      </c>
      <c r="R42" s="9">
        <f t="shared" si="59"/>
        <v>-0.82934749431469612</v>
      </c>
      <c r="S42" s="9">
        <f t="shared" si="59"/>
        <v>-0.70940373355790953</v>
      </c>
      <c r="T42" s="9">
        <f t="shared" si="59"/>
        <v>-0.63793659653579304</v>
      </c>
      <c r="U42" s="14">
        <f t="shared" si="60"/>
        <v>-0.6142353820073243</v>
      </c>
      <c r="V42" s="11">
        <v>8</v>
      </c>
    </row>
    <row r="43" spans="3:25" x14ac:dyDescent="0.25">
      <c r="F43" s="10">
        <v>1.2</v>
      </c>
      <c r="G43" s="14">
        <f t="shared" si="58"/>
        <v>-0.17710303389527393</v>
      </c>
      <c r="H43" s="9">
        <f t="shared" si="59"/>
        <v>-0.22261318311857847</v>
      </c>
      <c r="I43" s="9">
        <f t="shared" si="59"/>
        <v>-0.39679018654248832</v>
      </c>
      <c r="J43" s="9">
        <f t="shared" si="59"/>
        <v>-0.86671176679600226</v>
      </c>
      <c r="K43" s="9">
        <f t="shared" si="59"/>
        <v>-2.2012631280310533</v>
      </c>
      <c r="L43" s="9">
        <f t="shared" si="59"/>
        <v>-3.1412864860491627</v>
      </c>
      <c r="M43" s="9">
        <f t="shared" si="59"/>
        <v>-2.8568168188074825</v>
      </c>
      <c r="N43" s="9">
        <f t="shared" si="59"/>
        <v>-2.3897535649226751</v>
      </c>
      <c r="O43" s="9">
        <f t="shared" si="59"/>
        <v>-1.9472978223186899</v>
      </c>
      <c r="P43" s="9">
        <f t="shared" si="59"/>
        <v>-1.5698759985985711</v>
      </c>
      <c r="Q43" s="9">
        <f t="shared" si="59"/>
        <v>-1.2650749427273467</v>
      </c>
      <c r="R43" s="9">
        <f t="shared" si="59"/>
        <v>-1.0331753350132256</v>
      </c>
      <c r="S43" s="9">
        <f t="shared" si="59"/>
        <v>-0.87155573681290122</v>
      </c>
      <c r="T43" s="9">
        <f t="shared" si="59"/>
        <v>-0.77658366550178437</v>
      </c>
      <c r="U43" s="14">
        <f t="shared" si="60"/>
        <v>-0.74529969562480147</v>
      </c>
      <c r="V43" s="11">
        <v>7</v>
      </c>
    </row>
    <row r="44" spans="3:25" x14ac:dyDescent="0.25">
      <c r="F44" s="10">
        <v>1</v>
      </c>
      <c r="G44" s="14">
        <f t="shared" si="58"/>
        <v>0</v>
      </c>
      <c r="H44" s="9">
        <f t="shared" si="59"/>
        <v>0</v>
      </c>
      <c r="I44" s="9">
        <f t="shared" si="59"/>
        <v>0</v>
      </c>
      <c r="J44" s="9">
        <f t="shared" si="59"/>
        <v>0</v>
      </c>
      <c r="K44" s="9">
        <f t="shared" si="59"/>
        <v>-3.3185062869845803</v>
      </c>
      <c r="L44" s="9">
        <f t="shared" si="59"/>
        <v>-5.5874319297386776</v>
      </c>
      <c r="M44" s="9">
        <f t="shared" si="59"/>
        <v>-3.9779591169563941</v>
      </c>
      <c r="N44" s="9">
        <f t="shared" si="59"/>
        <v>-3.0383590055828136</v>
      </c>
      <c r="O44" s="9">
        <f t="shared" si="59"/>
        <v>-2.3700239696249912</v>
      </c>
      <c r="P44" s="9">
        <f t="shared" si="59"/>
        <v>-1.8559931393756024</v>
      </c>
      <c r="Q44" s="9">
        <f t="shared" si="59"/>
        <v>-1.4595940249746786</v>
      </c>
      <c r="R44" s="9">
        <f t="shared" si="59"/>
        <v>-1.1667051009733154</v>
      </c>
      <c r="S44" s="9">
        <f t="shared" si="59"/>
        <v>-0.96703481884355957</v>
      </c>
      <c r="T44" s="9">
        <f t="shared" si="59"/>
        <v>-0.85151082432959102</v>
      </c>
      <c r="U44" s="14">
        <f t="shared" si="60"/>
        <v>-0.8137635652315911</v>
      </c>
      <c r="V44" s="11">
        <v>6</v>
      </c>
    </row>
    <row r="45" spans="3:25" x14ac:dyDescent="0.25">
      <c r="F45" s="10">
        <v>0.8</v>
      </c>
      <c r="G45" s="13"/>
      <c r="H45" s="13"/>
      <c r="I45" s="13"/>
      <c r="J45" s="13"/>
      <c r="K45" s="13"/>
      <c r="L45" s="9">
        <f t="shared" si="59"/>
        <v>-2.5041679278389037</v>
      </c>
      <c r="M45" s="9">
        <f t="shared" ref="M45" si="61">-(N21-L21)/(2*$C$2)</f>
        <v>-4.4292532462555574</v>
      </c>
      <c r="N45" s="9">
        <f t="shared" ref="N45" si="62">-(O21-M21)/(2*$C$2)</f>
        <v>-3.4157198558183275</v>
      </c>
      <c r="O45" s="9">
        <f t="shared" ref="O45" si="63">-(P21-N21)/(2*$C$2)</f>
        <v>-2.6384601838705</v>
      </c>
      <c r="P45" s="9">
        <f t="shared" ref="P45:T45" si="64">-(Q21-O21)/(2*$C$2)</f>
        <v>-2.0244828895232336</v>
      </c>
      <c r="Q45" s="9">
        <f t="shared" si="64"/>
        <v>-1.5505962604889179</v>
      </c>
      <c r="R45" s="9">
        <f t="shared" si="64"/>
        <v>-1.2069993522417732</v>
      </c>
      <c r="S45" s="9">
        <f t="shared" si="64"/>
        <v>-0.97834110532163621</v>
      </c>
      <c r="T45" s="9">
        <f t="shared" si="64"/>
        <v>-0.84862997457776146</v>
      </c>
      <c r="U45" s="14">
        <f t="shared" si="60"/>
        <v>-0.80669840812677585</v>
      </c>
      <c r="V45" s="11">
        <v>5</v>
      </c>
    </row>
    <row r="46" spans="3:25" x14ac:dyDescent="0.25">
      <c r="F46" s="10">
        <v>0.6</v>
      </c>
      <c r="G46" s="13"/>
      <c r="H46" s="13"/>
      <c r="I46" s="13"/>
      <c r="J46" s="13"/>
      <c r="K46" s="13"/>
      <c r="L46" s="13"/>
      <c r="M46" s="9">
        <f t="shared" ref="M46" si="65">-(N22-L22)/(2*$C$2)</f>
        <v>-1.996517599148681</v>
      </c>
      <c r="N46" s="9">
        <f t="shared" ref="N46" si="66">-(O22-M22)/(2*$C$2)</f>
        <v>-3.5568309751825082</v>
      </c>
      <c r="O46" s="9">
        <f t="shared" ref="O46" si="67">-(P22-N22)/(2*$C$2)</f>
        <v>-2.7436305688584151</v>
      </c>
      <c r="P46" s="9">
        <f t="shared" ref="P46:T46" si="68">-(Q22-O22)/(2*$C$2)</f>
        <v>-2.0528892516771426</v>
      </c>
      <c r="Q46" s="9">
        <f t="shared" si="68"/>
        <v>-1.5113049018861273</v>
      </c>
      <c r="R46" s="9">
        <f t="shared" si="68"/>
        <v>-1.1323400120406713</v>
      </c>
      <c r="S46" s="9">
        <f t="shared" si="68"/>
        <v>-0.8906772205760316</v>
      </c>
      <c r="T46" s="9">
        <f t="shared" si="68"/>
        <v>-0.75793976109967742</v>
      </c>
      <c r="U46" s="14">
        <f t="shared" si="60"/>
        <v>-0.71573941906148963</v>
      </c>
      <c r="V46" s="11">
        <v>4</v>
      </c>
    </row>
    <row r="47" spans="3:25" x14ac:dyDescent="0.25">
      <c r="F47" s="10">
        <v>0.4</v>
      </c>
      <c r="G47" s="13"/>
      <c r="H47" s="13"/>
      <c r="I47" s="13"/>
      <c r="J47" s="13"/>
      <c r="K47" s="13"/>
      <c r="L47" s="13"/>
      <c r="M47" s="13"/>
      <c r="N47" s="9">
        <f t="shared" ref="N47" si="69">-(O23-M23)/(2*$C$2)</f>
        <v>-1.5707949983010878</v>
      </c>
      <c r="O47" s="9">
        <f t="shared" ref="O47" si="70">-(P23-N23)/(2*$C$2)</f>
        <v>-2.7263612145240437</v>
      </c>
      <c r="P47" s="9">
        <f t="shared" ref="P47:T47" si="71">-(Q23-O23)/(2*$C$2)</f>
        <v>-1.9321481649289876</v>
      </c>
      <c r="Q47" s="9">
        <f t="shared" si="71"/>
        <v>-1.3093932049053008</v>
      </c>
      <c r="R47" s="9">
        <f t="shared" si="71"/>
        <v>-0.92036796898476381</v>
      </c>
      <c r="S47" s="9">
        <f t="shared" si="71"/>
        <v>-0.6940688406683293</v>
      </c>
      <c r="T47" s="9">
        <f t="shared" si="71"/>
        <v>-0.5766888677851606</v>
      </c>
      <c r="U47" s="14">
        <f t="shared" si="60"/>
        <v>-0.54035347980465165</v>
      </c>
      <c r="V47" s="11">
        <v>3</v>
      </c>
    </row>
    <row r="48" spans="3:25" x14ac:dyDescent="0.25">
      <c r="F48" s="10">
        <v>0.2</v>
      </c>
      <c r="G48" s="13"/>
      <c r="H48" s="13"/>
      <c r="I48" s="13"/>
      <c r="J48" s="13"/>
      <c r="K48" s="13"/>
      <c r="L48" s="13"/>
      <c r="M48" s="13"/>
      <c r="N48" s="13"/>
      <c r="O48" s="9">
        <f t="shared" ref="O48:T48" si="72">-(P24-N24)/(2*$C$2)</f>
        <v>-1.0915783244347936</v>
      </c>
      <c r="P48" s="9">
        <f t="shared" si="72"/>
        <v>-1.6399605626902869</v>
      </c>
      <c r="Q48" s="9">
        <f t="shared" si="72"/>
        <v>-0.87375354214325018</v>
      </c>
      <c r="R48" s="9">
        <f t="shared" si="72"/>
        <v>-0.54566320909743748</v>
      </c>
      <c r="S48" s="9">
        <f t="shared" si="72"/>
        <v>-0.38852869630475462</v>
      </c>
      <c r="T48" s="9">
        <f t="shared" si="72"/>
        <v>-0.31437622821227557</v>
      </c>
      <c r="U48" s="14">
        <f t="shared" si="60"/>
        <v>-0.29227887423440291</v>
      </c>
      <c r="V48" s="11">
        <v>2</v>
      </c>
    </row>
    <row r="49" spans="6:40" x14ac:dyDescent="0.25">
      <c r="F49" s="10">
        <v>0</v>
      </c>
      <c r="G49" s="13"/>
      <c r="H49" s="13"/>
      <c r="I49" s="13"/>
      <c r="J49" s="13"/>
      <c r="K49" s="13"/>
      <c r="L49" s="13"/>
      <c r="M49" s="13"/>
      <c r="N49" s="13"/>
      <c r="O49" s="13"/>
      <c r="P49" s="9">
        <f t="shared" ref="P49:T49" si="73">-(Q25-O25)/(2*$C$2)</f>
        <v>0</v>
      </c>
      <c r="Q49" s="9">
        <f t="shared" si="73"/>
        <v>0</v>
      </c>
      <c r="R49" s="9">
        <f t="shared" si="73"/>
        <v>0</v>
      </c>
      <c r="S49" s="9">
        <f t="shared" si="73"/>
        <v>0</v>
      </c>
      <c r="T49" s="9">
        <f t="shared" si="73"/>
        <v>0</v>
      </c>
      <c r="U49" s="14">
        <f t="shared" si="60"/>
        <v>0</v>
      </c>
      <c r="V49" s="11">
        <v>1</v>
      </c>
      <c r="Y49" s="30" t="s">
        <v>9</v>
      </c>
      <c r="Z49" s="31" t="s">
        <v>19</v>
      </c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</row>
    <row r="50" spans="6:40" x14ac:dyDescent="0.25">
      <c r="F50" s="11"/>
      <c r="G50" s="11">
        <v>1</v>
      </c>
      <c r="H50" s="11">
        <v>2</v>
      </c>
      <c r="I50" s="11">
        <v>3</v>
      </c>
      <c r="J50" s="11">
        <v>4</v>
      </c>
      <c r="K50" s="11">
        <v>5</v>
      </c>
      <c r="L50" s="11">
        <v>6</v>
      </c>
      <c r="M50" s="11">
        <v>7</v>
      </c>
      <c r="N50" s="11">
        <v>8</v>
      </c>
      <c r="O50" s="11">
        <v>9</v>
      </c>
      <c r="P50" s="11">
        <v>10</v>
      </c>
      <c r="Q50" s="11">
        <v>11</v>
      </c>
      <c r="R50" s="11">
        <v>12</v>
      </c>
      <c r="S50" s="11">
        <v>13</v>
      </c>
      <c r="T50" s="11">
        <v>14</v>
      </c>
      <c r="U50" s="11">
        <v>15</v>
      </c>
      <c r="V50" s="11"/>
      <c r="Y50" s="28">
        <v>10</v>
      </c>
      <c r="Z50" s="28">
        <v>2</v>
      </c>
      <c r="AA50" s="28">
        <v>2</v>
      </c>
      <c r="AB50" s="28">
        <v>2</v>
      </c>
      <c r="AC50" s="28">
        <v>2</v>
      </c>
      <c r="AD50" s="28">
        <v>2</v>
      </c>
      <c r="AE50" s="28">
        <v>2</v>
      </c>
      <c r="AF50" s="28">
        <v>2</v>
      </c>
      <c r="AG50" s="28">
        <v>2</v>
      </c>
      <c r="AH50" s="28">
        <v>2</v>
      </c>
      <c r="AI50" s="28">
        <v>2</v>
      </c>
      <c r="AJ50" s="28">
        <v>2</v>
      </c>
      <c r="AK50" s="28">
        <v>2</v>
      </c>
      <c r="AL50" s="28">
        <v>2</v>
      </c>
      <c r="AM50" s="28">
        <v>2</v>
      </c>
      <c r="AN50" s="28">
        <v>2</v>
      </c>
    </row>
    <row r="51" spans="6:40" x14ac:dyDescent="0.25">
      <c r="F51" s="10">
        <v>2</v>
      </c>
      <c r="G51" s="14">
        <f>(G27^2+G39^2)^(1/2)</f>
        <v>10</v>
      </c>
      <c r="H51" s="14">
        <f t="shared" ref="H51:U51" si="74">(H27^2+H39^2)^(1/2)</f>
        <v>9.8582888580686578</v>
      </c>
      <c r="I51" s="14">
        <f t="shared" si="74"/>
        <v>9.6756849904734388</v>
      </c>
      <c r="J51" s="14">
        <f t="shared" si="74"/>
        <v>9.4096773836263203</v>
      </c>
      <c r="K51" s="14">
        <f t="shared" si="74"/>
        <v>9.0239772499791293</v>
      </c>
      <c r="L51" s="14">
        <f t="shared" si="74"/>
        <v>8.5156526751698358</v>
      </c>
      <c r="M51" s="14">
        <f t="shared" si="74"/>
        <v>7.9486595362305401</v>
      </c>
      <c r="N51" s="14">
        <f t="shared" si="74"/>
        <v>7.389390132035949</v>
      </c>
      <c r="O51" s="14">
        <f t="shared" si="74"/>
        <v>6.8792006089556512</v>
      </c>
      <c r="P51" s="14">
        <f t="shared" si="74"/>
        <v>6.4351239868943733</v>
      </c>
      <c r="Q51" s="14">
        <f t="shared" si="74"/>
        <v>6.0580037688396438</v>
      </c>
      <c r="R51" s="14">
        <f t="shared" si="74"/>
        <v>5.7395834008918989</v>
      </c>
      <c r="S51" s="14">
        <f t="shared" si="74"/>
        <v>5.4670729686954811</v>
      </c>
      <c r="T51" s="14">
        <f t="shared" si="74"/>
        <v>5.2257043851810092</v>
      </c>
      <c r="U51" s="14">
        <f t="shared" si="74"/>
        <v>5</v>
      </c>
      <c r="V51" s="11">
        <v>11</v>
      </c>
      <c r="Y51" s="30">
        <v>9.5</v>
      </c>
      <c r="Z51" s="30">
        <f>(($F$3-$F$4)*($Y$51-G16))/(G15-G16)+$F$4</f>
        <v>1.95</v>
      </c>
      <c r="AA51" s="30">
        <f t="shared" ref="AA51:AN51" si="75">(($F$3-$F$4)*($Y$51-H16))/(H15-H16)+$F$4</f>
        <v>1.9492812626278475</v>
      </c>
      <c r="AB51" s="30">
        <f t="shared" si="75"/>
        <v>1.94832407997682</v>
      </c>
      <c r="AC51" s="30">
        <f t="shared" si="75"/>
        <v>1.9468632296705</v>
      </c>
      <c r="AD51" s="30">
        <f t="shared" si="75"/>
        <v>1.9445920810899722</v>
      </c>
      <c r="AE51" s="30">
        <f t="shared" si="75"/>
        <v>1.9412846303246551</v>
      </c>
      <c r="AF51" s="30">
        <f t="shared" si="75"/>
        <v>1.9370963631386382</v>
      </c>
      <c r="AG51" s="30">
        <f t="shared" si="75"/>
        <v>1.9323354910422728</v>
      </c>
      <c r="AH51" s="30">
        <f t="shared" si="75"/>
        <v>1.9273172278163331</v>
      </c>
      <c r="AI51" s="30">
        <f t="shared" si="75"/>
        <v>1.9223015312673915</v>
      </c>
      <c r="AJ51" s="30">
        <f t="shared" si="75"/>
        <v>1.9174646763952969</v>
      </c>
      <c r="AK51" s="30">
        <f t="shared" si="75"/>
        <v>1.9128857770235868</v>
      </c>
      <c r="AL51" s="30">
        <f t="shared" si="75"/>
        <v>1.9085434707141742</v>
      </c>
      <c r="AM51" s="30">
        <f t="shared" si="75"/>
        <v>1.9043191715397745</v>
      </c>
      <c r="AN51" s="30">
        <f t="shared" si="75"/>
        <v>1.9</v>
      </c>
    </row>
    <row r="52" spans="6:40" x14ac:dyDescent="0.25">
      <c r="F52" s="10">
        <v>1.8</v>
      </c>
      <c r="G52" s="14">
        <f t="shared" ref="G52:U56" si="76">(G28^2+G40^2)^(1/2)</f>
        <v>10.001004041792806</v>
      </c>
      <c r="H52" s="14">
        <f t="shared" ref="H52:U52" si="77">(H28^2+H40^2)^(1/2)</f>
        <v>9.8800647010827518</v>
      </c>
      <c r="I52" s="14">
        <f t="shared" si="77"/>
        <v>9.7199724185263729</v>
      </c>
      <c r="J52" s="14">
        <f t="shared" si="77"/>
        <v>9.4751238058006155</v>
      </c>
      <c r="K52" s="14">
        <f t="shared" si="77"/>
        <v>9.0962725794559756</v>
      </c>
      <c r="L52" s="14">
        <f t="shared" si="77"/>
        <v>8.5618757163739367</v>
      </c>
      <c r="M52" s="14">
        <f t="shared" si="77"/>
        <v>7.9647174248184385</v>
      </c>
      <c r="N52" s="14">
        <f t="shared" si="77"/>
        <v>7.3842221339437666</v>
      </c>
      <c r="O52" s="14">
        <f t="shared" si="77"/>
        <v>6.8627336241013372</v>
      </c>
      <c r="P52" s="14">
        <f t="shared" si="77"/>
        <v>6.4147832150266728</v>
      </c>
      <c r="Q52" s="14">
        <f t="shared" si="77"/>
        <v>6.0386597766598333</v>
      </c>
      <c r="R52" s="14">
        <f t="shared" si="77"/>
        <v>5.7242454106683862</v>
      </c>
      <c r="S52" s="14">
        <f t="shared" si="77"/>
        <v>5.4575435159096672</v>
      </c>
      <c r="T52" s="14">
        <f t="shared" si="77"/>
        <v>5.223090754956103</v>
      </c>
      <c r="U52" s="14">
        <f t="shared" si="77"/>
        <v>5.0050917841293536</v>
      </c>
      <c r="V52" s="11">
        <v>10</v>
      </c>
      <c r="Y52" s="28">
        <v>7.5</v>
      </c>
      <c r="Z52" s="28">
        <f>(($F$4-$F$5)*($Y$52-G17))/(G16-G17)+$F$5</f>
        <v>1.75</v>
      </c>
      <c r="AA52" s="28">
        <f t="shared" ref="AA52:AN52" si="78">(($F$4-$F$5)*($Y$52-H17))/(H16-H17)+$F$5</f>
        <v>1.7466276886374463</v>
      </c>
      <c r="AB52" s="28">
        <f t="shared" si="78"/>
        <v>1.7421192905010554</v>
      </c>
      <c r="AC52" s="28">
        <f t="shared" si="78"/>
        <v>1.7351410934325795</v>
      </c>
      <c r="AD52" s="28">
        <f t="shared" si="78"/>
        <v>1.7239931165748308</v>
      </c>
      <c r="AE52" s="28">
        <f t="shared" si="78"/>
        <v>1.7070632154347269</v>
      </c>
      <c r="AF52" s="28">
        <f t="shared" si="78"/>
        <v>1.6853700517740735</v>
      </c>
      <c r="AG52" s="28">
        <f t="shared" si="78"/>
        <v>1.660751990611983</v>
      </c>
      <c r="AH52" s="28">
        <f t="shared" si="78"/>
        <v>1.6349995652331901</v>
      </c>
      <c r="AI52" s="28">
        <f t="shared" si="78"/>
        <v>1.6095247400596546</v>
      </c>
      <c r="AJ52" s="28">
        <f t="shared" si="78"/>
        <v>1.5852412570021603</v>
      </c>
      <c r="AK52" s="28">
        <f t="shared" si="78"/>
        <v>1.5625282048415523</v>
      </c>
      <c r="AL52" s="28">
        <f t="shared" si="78"/>
        <v>1.5412424174642207</v>
      </c>
      <c r="AM52" s="28">
        <f t="shared" si="78"/>
        <v>1.5207582346648079</v>
      </c>
      <c r="AN52" s="28">
        <f t="shared" si="78"/>
        <v>1.5</v>
      </c>
    </row>
    <row r="53" spans="6:40" x14ac:dyDescent="0.25">
      <c r="F53" s="10">
        <v>1.6</v>
      </c>
      <c r="G53" s="14">
        <f t="shared" si="76"/>
        <v>10.002940632756337</v>
      </c>
      <c r="H53" s="14">
        <f t="shared" ref="H53:U53" si="79">(H29^2+H41^2)^(1/2)</f>
        <v>9.9432777229610476</v>
      </c>
      <c r="I53" s="14">
        <f t="shared" si="79"/>
        <v>9.854093693253974</v>
      </c>
      <c r="J53" s="14">
        <f t="shared" si="79"/>
        <v>9.686370781629897</v>
      </c>
      <c r="K53" s="14">
        <f t="shared" si="79"/>
        <v>9.3484735535155057</v>
      </c>
      <c r="L53" s="14">
        <f t="shared" si="79"/>
        <v>8.7091712306725775</v>
      </c>
      <c r="M53" s="14">
        <f t="shared" si="79"/>
        <v>8.0080803646309597</v>
      </c>
      <c r="N53" s="14">
        <f t="shared" si="79"/>
        <v>7.3614575552540478</v>
      </c>
      <c r="O53" s="14">
        <f t="shared" si="79"/>
        <v>6.8073027688269079</v>
      </c>
      <c r="P53" s="14">
        <f t="shared" si="79"/>
        <v>6.3494403378390816</v>
      </c>
      <c r="Q53" s="14">
        <f t="shared" si="79"/>
        <v>5.9776513710683812</v>
      </c>
      <c r="R53" s="14">
        <f t="shared" si="79"/>
        <v>5.6761386708792072</v>
      </c>
      <c r="S53" s="14">
        <f t="shared" si="79"/>
        <v>5.4273586383778838</v>
      </c>
      <c r="T53" s="14">
        <f t="shared" si="79"/>
        <v>5.2138474666851513</v>
      </c>
      <c r="U53" s="14">
        <f t="shared" si="79"/>
        <v>5.0189509610367278</v>
      </c>
      <c r="V53" s="11">
        <v>9</v>
      </c>
      <c r="Y53" s="30">
        <v>5</v>
      </c>
      <c r="Z53" s="30">
        <f>(($F$5-$F$6)*($Y$53-G18))/(G17-G18)+$F$6</f>
        <v>1.5</v>
      </c>
      <c r="AA53" s="30">
        <f t="shared" ref="AA53:AN53" si="80">(($F$5-$F$6)*($Y$53-H18))/(H17-H18)+$F$6</f>
        <v>1.4949323333062368</v>
      </c>
      <c r="AB53" s="30">
        <f t="shared" si="80"/>
        <v>1.4879345255735488</v>
      </c>
      <c r="AC53" s="30">
        <f t="shared" si="80"/>
        <v>1.4763333400139103</v>
      </c>
      <c r="AD53" s="30">
        <f t="shared" si="80"/>
        <v>1.4555947838013366</v>
      </c>
      <c r="AE53" s="30">
        <f t="shared" si="80"/>
        <v>1.4180355343495721</v>
      </c>
      <c r="AF53" s="30">
        <f t="shared" si="80"/>
        <v>1.3693676808868229</v>
      </c>
      <c r="AG53" s="30">
        <f t="shared" si="80"/>
        <v>1.3154149641928512</v>
      </c>
      <c r="AH53" s="30">
        <f t="shared" si="80"/>
        <v>1.260661789745652</v>
      </c>
      <c r="AI53" s="30">
        <f t="shared" si="80"/>
        <v>1.2081412065852897</v>
      </c>
      <c r="AJ53" s="30">
        <f t="shared" si="80"/>
        <v>1.1595678568740422</v>
      </c>
      <c r="AK53" s="30">
        <f t="shared" si="80"/>
        <v>1.1154556387619776</v>
      </c>
      <c r="AL53" s="30">
        <f t="shared" si="80"/>
        <v>1.075253209453632</v>
      </c>
      <c r="AM53" s="30">
        <f t="shared" si="80"/>
        <v>1.0375100224564178</v>
      </c>
      <c r="AN53" s="30">
        <f t="shared" si="80"/>
        <v>0.99999999999999956</v>
      </c>
    </row>
    <row r="54" spans="6:40" x14ac:dyDescent="0.25">
      <c r="F54" s="10">
        <v>1.4</v>
      </c>
      <c r="G54" s="14">
        <f t="shared" si="76"/>
        <v>10.003462816882173</v>
      </c>
      <c r="H54" s="14">
        <f t="shared" ref="H54:U54" si="81">(H30^2+H42^2)^(1/2)</f>
        <v>10.03770722144055</v>
      </c>
      <c r="I54" s="14">
        <f t="shared" si="81"/>
        <v>10.072312789030581</v>
      </c>
      <c r="J54" s="14">
        <f t="shared" si="81"/>
        <v>10.082638932781542</v>
      </c>
      <c r="K54" s="14">
        <f t="shared" si="81"/>
        <v>9.9360168825429014</v>
      </c>
      <c r="L54" s="14">
        <f t="shared" si="81"/>
        <v>8.9760868813898202</v>
      </c>
      <c r="M54" s="14">
        <f t="shared" si="81"/>
        <v>8.0563100366972105</v>
      </c>
      <c r="N54" s="14">
        <f t="shared" si="81"/>
        <v>7.2965231907329589</v>
      </c>
      <c r="O54" s="14">
        <f t="shared" si="81"/>
        <v>6.6945388012752218</v>
      </c>
      <c r="P54" s="14">
        <f t="shared" si="81"/>
        <v>6.2265654891479141</v>
      </c>
      <c r="Q54" s="14">
        <f t="shared" si="81"/>
        <v>5.8665597428403142</v>
      </c>
      <c r="R54" s="14">
        <f t="shared" si="81"/>
        <v>5.5894509610547312</v>
      </c>
      <c r="S54" s="14">
        <f t="shared" si="81"/>
        <v>5.3721292832951297</v>
      </c>
      <c r="T54" s="14">
        <f t="shared" si="81"/>
        <v>5.1941030929208294</v>
      </c>
      <c r="U54" s="14">
        <f t="shared" si="81"/>
        <v>5.0375872304615914</v>
      </c>
      <c r="V54" s="11">
        <v>8</v>
      </c>
      <c r="W54" s="24" t="s">
        <v>12</v>
      </c>
      <c r="Y54" s="28">
        <v>2.5</v>
      </c>
      <c r="Z54" s="28">
        <f>(($F$6-$F$7)*($Y$54-G19))/(G18-G19)+$F$7</f>
        <v>1.25</v>
      </c>
      <c r="AA54" s="28">
        <f t="shared" ref="AA54:AN54" si="82">(($F$6-$F$7)*($Y$54-H19))/(H18-H19)+$F$7</f>
        <v>1.2460614162290951</v>
      </c>
      <c r="AB54" s="28">
        <f t="shared" si="82"/>
        <v>1.2403375323170083</v>
      </c>
      <c r="AC54" s="28">
        <f t="shared" si="82"/>
        <v>1.2297295679882003</v>
      </c>
      <c r="AD54" s="28">
        <f t="shared" si="82"/>
        <v>1.2063058799671988</v>
      </c>
      <c r="AE54" s="28">
        <f t="shared" si="82"/>
        <v>1.1350157045656091</v>
      </c>
      <c r="AF54" s="28">
        <f t="shared" si="82"/>
        <v>1.046138411810499</v>
      </c>
      <c r="AG54" s="28">
        <f t="shared" si="82"/>
        <v>0.95345438756771894</v>
      </c>
      <c r="AH54" s="28">
        <f t="shared" si="82"/>
        <v>0.86447913515367958</v>
      </c>
      <c r="AI54" s="28">
        <f t="shared" si="82"/>
        <v>0.78327312112775993</v>
      </c>
      <c r="AJ54" s="28">
        <f t="shared" si="82"/>
        <v>0.71167618219686579</v>
      </c>
      <c r="AK54" s="28">
        <f t="shared" si="82"/>
        <v>0.64965810006395097</v>
      </c>
      <c r="AL54" s="28">
        <f t="shared" si="82"/>
        <v>0.59564359112090248</v>
      </c>
      <c r="AM54" s="28">
        <f t="shared" si="82"/>
        <v>0.54693080108509184</v>
      </c>
      <c r="AN54" s="28">
        <f t="shared" si="82"/>
        <v>0.50000000000000011</v>
      </c>
    </row>
    <row r="55" spans="6:40" x14ac:dyDescent="0.25">
      <c r="F55" s="10">
        <v>1.2</v>
      </c>
      <c r="G55" s="14">
        <f t="shared" si="76"/>
        <v>10.001568151275825</v>
      </c>
      <c r="H55" s="14">
        <f t="shared" ref="H55:U55" si="83">(H31^2+H43^2)^(1/2)</f>
        <v>10.134040349050455</v>
      </c>
      <c r="I55" s="14">
        <f t="shared" si="83"/>
        <v>10.32419197672519</v>
      </c>
      <c r="J55" s="14">
        <f t="shared" si="83"/>
        <v>10.664713657189894</v>
      </c>
      <c r="K55" s="14">
        <f t="shared" si="83"/>
        <v>11.399912414375029</v>
      </c>
      <c r="L55" s="14">
        <f t="shared" si="83"/>
        <v>9.3339621274661262</v>
      </c>
      <c r="M55" s="14">
        <f t="shared" si="83"/>
        <v>8.042109099574752</v>
      </c>
      <c r="N55" s="14">
        <f t="shared" si="83"/>
        <v>7.141525134432464</v>
      </c>
      <c r="O55" s="14">
        <f t="shared" si="83"/>
        <v>6.4945910516795582</v>
      </c>
      <c r="P55" s="14">
        <f t="shared" si="83"/>
        <v>6.0273747303433884</v>
      </c>
      <c r="Q55" s="14">
        <f t="shared" si="83"/>
        <v>5.6932629555941663</v>
      </c>
      <c r="R55" s="14">
        <f t="shared" si="83"/>
        <v>5.4561083684973539</v>
      </c>
      <c r="S55" s="14">
        <f t="shared" si="83"/>
        <v>5.2859203373995225</v>
      </c>
      <c r="T55" s="14">
        <f t="shared" si="83"/>
        <v>5.1585530308471066</v>
      </c>
      <c r="U55" s="14">
        <f t="shared" si="83"/>
        <v>5.0552419958196282</v>
      </c>
      <c r="V55" s="11">
        <v>7</v>
      </c>
      <c r="W55" s="24"/>
      <c r="Y55" s="30">
        <v>0.5</v>
      </c>
      <c r="Z55" s="30">
        <f>(($F$7-$F$8)*($Y$55-G20))/(G19-G20)+$F$8</f>
        <v>1.05</v>
      </c>
      <c r="AA55" s="30">
        <f t="shared" ref="AA55:AN55" si="84">(($F$7-$F$8)*($Y$55-H20))/(H19-H20)+$F$8</f>
        <v>1.0491298946600744</v>
      </c>
      <c r="AB55" s="30">
        <f t="shared" si="84"/>
        <v>1.0478687567381197</v>
      </c>
      <c r="AC55" s="30">
        <f t="shared" si="84"/>
        <v>1.0455760121271813</v>
      </c>
      <c r="AD55" s="30">
        <f t="shared" si="84"/>
        <v>1.041055453938865</v>
      </c>
      <c r="AE55" s="30">
        <f t="shared" si="84"/>
        <v>0.90529031037673058</v>
      </c>
      <c r="AF55" s="30">
        <f t="shared" si="84"/>
        <v>0.76188755331284952</v>
      </c>
      <c r="AG55" s="30">
        <f t="shared" si="84"/>
        <v>0.62756101745024717</v>
      </c>
      <c r="AH55" s="30">
        <f t="shared" si="84"/>
        <v>0.5073896471530388</v>
      </c>
      <c r="AI55" s="30">
        <f t="shared" si="84"/>
        <v>0.40397991110543507</v>
      </c>
      <c r="AJ55" s="30">
        <f t="shared" si="84"/>
        <v>0.31829936151411775</v>
      </c>
      <c r="AK55" s="30">
        <f t="shared" si="84"/>
        <v>0.24888450971844034</v>
      </c>
      <c r="AL55" s="30">
        <f t="shared" si="84"/>
        <v>0.19232750798246667</v>
      </c>
      <c r="AM55" s="30">
        <f t="shared" si="84"/>
        <v>0.14426788894321074</v>
      </c>
      <c r="AN55" s="30">
        <f t="shared" si="84"/>
        <v>0.1000000000000002</v>
      </c>
    </row>
    <row r="56" spans="6:40" x14ac:dyDescent="0.25">
      <c r="F56" s="10">
        <v>1</v>
      </c>
      <c r="G56" s="14">
        <f t="shared" si="76"/>
        <v>10</v>
      </c>
      <c r="H56" s="14">
        <f t="shared" ref="H56:U60" si="85">(H32^2+H44^2)^(1/2)</f>
        <v>10.177103784102091</v>
      </c>
      <c r="I56" s="14">
        <f t="shared" si="85"/>
        <v>10.445228085633969</v>
      </c>
      <c r="J56" s="14">
        <f t="shared" si="85"/>
        <v>10.970686363111994</v>
      </c>
      <c r="K56" s="14">
        <f t="shared" si="85"/>
        <v>12.622683037168636</v>
      </c>
      <c r="L56" s="14">
        <f t="shared" si="85"/>
        <v>9.5028081304466401</v>
      </c>
      <c r="M56" s="14">
        <f t="shared" si="85"/>
        <v>7.8146821784110756</v>
      </c>
      <c r="N56" s="14">
        <f t="shared" si="85"/>
        <v>6.827497401637082</v>
      </c>
      <c r="O56" s="14">
        <f t="shared" si="85"/>
        <v>6.1735308889648541</v>
      </c>
      <c r="P56" s="14">
        <f t="shared" si="85"/>
        <v>5.731816867502026</v>
      </c>
      <c r="Q56" s="14">
        <f t="shared" si="85"/>
        <v>5.4451431286468086</v>
      </c>
      <c r="R56" s="14">
        <f t="shared" si="85"/>
        <v>5.2682974875522444</v>
      </c>
      <c r="S56" s="14">
        <f t="shared" si="85"/>
        <v>5.1634111978249697</v>
      </c>
      <c r="T56" s="14">
        <f t="shared" si="85"/>
        <v>5.1022552824498089</v>
      </c>
      <c r="U56" s="14">
        <f t="shared" si="85"/>
        <v>5.0657883039166203</v>
      </c>
      <c r="V56" s="11">
        <v>6</v>
      </c>
      <c r="Y56" s="28">
        <v>0</v>
      </c>
      <c r="Z56" s="28">
        <v>1</v>
      </c>
      <c r="AA56" s="28">
        <v>1</v>
      </c>
      <c r="AB56" s="28">
        <v>1</v>
      </c>
      <c r="AC56" s="28">
        <v>1</v>
      </c>
      <c r="AD56" s="28">
        <v>1</v>
      </c>
      <c r="AE56" s="28">
        <v>0.8</v>
      </c>
      <c r="AF56" s="28">
        <v>0.6</v>
      </c>
      <c r="AG56" s="28">
        <v>0.4</v>
      </c>
      <c r="AH56" s="28">
        <v>0.2</v>
      </c>
      <c r="AI56" s="28">
        <v>0</v>
      </c>
      <c r="AJ56" s="28">
        <v>0</v>
      </c>
      <c r="AK56" s="28">
        <v>0</v>
      </c>
      <c r="AL56" s="28">
        <v>0</v>
      </c>
      <c r="AM56" s="28">
        <v>0</v>
      </c>
      <c r="AN56" s="28">
        <v>0</v>
      </c>
    </row>
    <row r="57" spans="6:40" x14ac:dyDescent="0.25">
      <c r="F57" s="10">
        <v>0.8</v>
      </c>
      <c r="G57" s="13"/>
      <c r="H57" s="13"/>
      <c r="I57" s="13"/>
      <c r="J57" s="13"/>
      <c r="K57" s="13"/>
      <c r="L57" s="14">
        <f t="shared" si="85"/>
        <v>7.0937204621860106</v>
      </c>
      <c r="M57" s="14">
        <f t="shared" si="85"/>
        <v>7.130059262200116</v>
      </c>
      <c r="N57" s="14">
        <f t="shared" si="85"/>
        <v>6.3052873064715529</v>
      </c>
      <c r="O57" s="14">
        <f t="shared" si="85"/>
        <v>5.714531985333517</v>
      </c>
      <c r="P57" s="14">
        <f t="shared" si="85"/>
        <v>5.3261065627865207</v>
      </c>
      <c r="Q57" s="14">
        <f t="shared" si="85"/>
        <v>5.112865043595491</v>
      </c>
      <c r="R57" s="14">
        <f t="shared" si="85"/>
        <v>5.0218419154186362</v>
      </c>
      <c r="S57" s="14">
        <f t="shared" si="85"/>
        <v>5.0030206022064077</v>
      </c>
      <c r="T57" s="14">
        <f t="shared" si="85"/>
        <v>5.0231926588790881</v>
      </c>
      <c r="U57" s="14">
        <f t="shared" si="85"/>
        <v>5.0646581643457713</v>
      </c>
      <c r="V57" s="11">
        <v>5</v>
      </c>
      <c r="Y57" s="30" t="s">
        <v>13</v>
      </c>
      <c r="Z57" s="30">
        <v>0</v>
      </c>
      <c r="AA57" s="30">
        <v>0.2</v>
      </c>
      <c r="AB57" s="30">
        <v>0.4</v>
      </c>
      <c r="AC57" s="30">
        <v>0.6</v>
      </c>
      <c r="AD57" s="30">
        <v>0.8</v>
      </c>
      <c r="AE57" s="30">
        <v>1</v>
      </c>
      <c r="AF57" s="30">
        <v>1.2</v>
      </c>
      <c r="AG57" s="30">
        <v>1.4</v>
      </c>
      <c r="AH57" s="30">
        <v>1.6</v>
      </c>
      <c r="AI57" s="30">
        <v>1.8</v>
      </c>
      <c r="AJ57" s="30">
        <v>2</v>
      </c>
      <c r="AK57" s="30">
        <v>2.2000000000000002</v>
      </c>
      <c r="AL57" s="30">
        <v>2.4</v>
      </c>
      <c r="AM57" s="30">
        <v>2.6</v>
      </c>
      <c r="AN57" s="30">
        <v>2.8</v>
      </c>
    </row>
    <row r="58" spans="6:40" x14ac:dyDescent="0.25">
      <c r="F58" s="10">
        <v>0.6</v>
      </c>
      <c r="G58" s="13"/>
      <c r="H58" s="13"/>
      <c r="I58" s="13"/>
      <c r="J58" s="13"/>
      <c r="K58" s="13"/>
      <c r="L58" s="13"/>
      <c r="M58" s="14">
        <f t="shared" si="85"/>
        <v>5.3916210922556562</v>
      </c>
      <c r="N58" s="14">
        <f t="shared" si="85"/>
        <v>5.6806150975841501</v>
      </c>
      <c r="O58" s="14">
        <f t="shared" si="85"/>
        <v>5.1421952193456137</v>
      </c>
      <c r="P58" s="14">
        <f t="shared" si="85"/>
        <v>4.8022642722782605</v>
      </c>
      <c r="Q58" s="14">
        <f t="shared" si="85"/>
        <v>4.6915207957079774</v>
      </c>
      <c r="R58" s="14">
        <f t="shared" si="85"/>
        <v>4.7203861415408781</v>
      </c>
      <c r="S58" s="14">
        <f t="shared" si="85"/>
        <v>4.8112240319578055</v>
      </c>
      <c r="T58" s="14">
        <f t="shared" si="85"/>
        <v>4.9254947497179806</v>
      </c>
      <c r="U58" s="14">
        <f t="shared" si="85"/>
        <v>5.0509685126714539</v>
      </c>
      <c r="V58" s="11">
        <v>4</v>
      </c>
    </row>
    <row r="59" spans="6:40" x14ac:dyDescent="0.25">
      <c r="F59" s="10">
        <v>0.4</v>
      </c>
      <c r="G59" s="13"/>
      <c r="H59" s="13"/>
      <c r="I59" s="13"/>
      <c r="J59" s="13"/>
      <c r="K59" s="13"/>
      <c r="L59" s="13"/>
      <c r="M59" s="13"/>
      <c r="N59" s="14">
        <f t="shared" si="85"/>
        <v>4.2908952707638086</v>
      </c>
      <c r="O59" s="14">
        <f t="shared" si="85"/>
        <v>4.4815327615877925</v>
      </c>
      <c r="P59" s="14">
        <f t="shared" si="85"/>
        <v>4.128595824946081</v>
      </c>
      <c r="Q59" s="14">
        <f t="shared" si="85"/>
        <v>4.1801373343958605</v>
      </c>
      <c r="R59" s="14">
        <f t="shared" si="85"/>
        <v>4.3838290558197253</v>
      </c>
      <c r="S59" s="14">
        <f t="shared" si="85"/>
        <v>4.6089998055872057</v>
      </c>
      <c r="T59" s="14">
        <f t="shared" si="85"/>
        <v>4.8228743537283805</v>
      </c>
      <c r="U59" s="14">
        <f t="shared" si="85"/>
        <v>5.0291134291380812</v>
      </c>
      <c r="V59" s="11">
        <v>3</v>
      </c>
    </row>
    <row r="60" spans="6:40" x14ac:dyDescent="0.25">
      <c r="F60" s="10">
        <v>0.2</v>
      </c>
      <c r="G60" s="13"/>
      <c r="H60" s="13"/>
      <c r="I60" s="13"/>
      <c r="J60" s="13"/>
      <c r="K60" s="13"/>
      <c r="L60" s="13"/>
      <c r="M60" s="13"/>
      <c r="N60" s="13"/>
      <c r="O60" s="14">
        <f t="shared" si="85"/>
        <v>3.3258336190454907</v>
      </c>
      <c r="P60" s="14">
        <f t="shared" ref="P60:U60" si="86">(P36^2+P48^2)^(1/2)</f>
        <v>3.1815944280533963</v>
      </c>
      <c r="Q60" s="14">
        <f t="shared" si="86"/>
        <v>3.6102766778689093</v>
      </c>
      <c r="R60" s="14">
        <f t="shared" si="86"/>
        <v>4.0724814997077114</v>
      </c>
      <c r="S60" s="14">
        <f t="shared" si="86"/>
        <v>4.4403461436305021</v>
      </c>
      <c r="T60" s="14">
        <f t="shared" si="86"/>
        <v>4.7402617690568718</v>
      </c>
      <c r="U60" s="14">
        <f t="shared" si="86"/>
        <v>5.0085354087121843</v>
      </c>
      <c r="V60" s="11">
        <v>2</v>
      </c>
    </row>
    <row r="61" spans="6:40" x14ac:dyDescent="0.25">
      <c r="F61" s="10">
        <v>0</v>
      </c>
      <c r="G61" s="13"/>
      <c r="H61" s="13"/>
      <c r="I61" s="13"/>
      <c r="J61" s="13"/>
      <c r="K61" s="13"/>
      <c r="L61" s="13"/>
      <c r="M61" s="13"/>
      <c r="N61" s="13"/>
      <c r="O61" s="13"/>
      <c r="P61" s="14">
        <f t="shared" ref="P61:U61" si="87">(P37^2+P49^2)^(1/2)</f>
        <v>2.1831608886071652</v>
      </c>
      <c r="Q61" s="14">
        <f t="shared" si="87"/>
        <v>3.2799266771214564</v>
      </c>
      <c r="R61" s="14">
        <f t="shared" si="87"/>
        <v>3.930669376953678</v>
      </c>
      <c r="S61" s="14">
        <f t="shared" si="87"/>
        <v>4.3712517808378415</v>
      </c>
      <c r="T61" s="14">
        <f t="shared" si="87"/>
        <v>4.7077235159426989</v>
      </c>
      <c r="U61" s="14">
        <f t="shared" si="87"/>
        <v>5</v>
      </c>
      <c r="V61" s="11">
        <v>1</v>
      </c>
    </row>
    <row r="62" spans="6:40" x14ac:dyDescent="0.25">
      <c r="F62" s="11"/>
      <c r="G62" s="10">
        <v>0</v>
      </c>
      <c r="H62" s="10">
        <v>0.2</v>
      </c>
      <c r="I62" s="10">
        <v>0.4</v>
      </c>
      <c r="J62" s="10">
        <v>0.6</v>
      </c>
      <c r="K62" s="10">
        <v>0.8</v>
      </c>
      <c r="L62" s="10">
        <v>1</v>
      </c>
      <c r="M62" s="10">
        <v>1.2</v>
      </c>
      <c r="N62" s="10">
        <v>1.4</v>
      </c>
      <c r="O62" s="10">
        <v>1.6</v>
      </c>
      <c r="P62" s="10">
        <v>1.8</v>
      </c>
      <c r="Q62" s="10">
        <v>2</v>
      </c>
      <c r="R62" s="10">
        <v>2.2000000000000002</v>
      </c>
      <c r="S62" s="10">
        <v>2.4</v>
      </c>
      <c r="T62" s="10">
        <v>2.6</v>
      </c>
      <c r="U62" s="10">
        <v>2.8</v>
      </c>
      <c r="V62" s="11"/>
    </row>
  </sheetData>
  <mergeCells count="7">
    <mergeCell ref="W54:W55"/>
    <mergeCell ref="Y1:AN1"/>
    <mergeCell ref="Y13:AN13"/>
    <mergeCell ref="Z49:AN49"/>
    <mergeCell ref="W7:W8"/>
    <mergeCell ref="W28:W29"/>
    <mergeCell ref="W40:W41"/>
  </mergeCells>
  <conditionalFormatting sqref="G15:U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7:U37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9:U4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1:U6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7:U37 G39:U49 G51:U61">
    <cfRule type="colorScale" priority="1">
      <colorScale>
        <cfvo type="min"/>
        <cfvo type="max"/>
        <color theme="4" tint="0.39997558519241921"/>
        <color rgb="FFFF2D2D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ot_samiy_macros">
                <anchor moveWithCells="1">
                  <from>
                    <xdr:col>1</xdr:col>
                    <xdr:colOff>76200</xdr:colOff>
                    <xdr:row>14</xdr:row>
                    <xdr:rowOff>180975</xdr:rowOff>
                  </from>
                  <to>
                    <xdr:col>2</xdr:col>
                    <xdr:colOff>400050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bnulenie">
                <anchor moveWithCells="1">
                  <from>
                    <xdr:col>1</xdr:col>
                    <xdr:colOff>57150</xdr:colOff>
                    <xdr:row>18</xdr:row>
                    <xdr:rowOff>104775</xdr:rowOff>
                  </from>
                  <to>
                    <xdr:col>2</xdr:col>
                    <xdr:colOff>409575</xdr:colOff>
                    <xdr:row>20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Леонид</dc:creator>
  <cp:lastModifiedBy>Леонид</cp:lastModifiedBy>
  <dcterms:created xsi:type="dcterms:W3CDTF">2021-05-17T13:58:36Z</dcterms:created>
  <dcterms:modified xsi:type="dcterms:W3CDTF">2021-05-17T16:54:17Z</dcterms:modified>
</cp:coreProperties>
</file>